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hidePivotFieldList="1" defaultThemeVersion="153222"/>
  <mc:AlternateContent xmlns:mc="http://schemas.openxmlformats.org/markup-compatibility/2006">
    <mc:Choice Requires="x15">
      <x15ac:absPath xmlns:x15ac="http://schemas.microsoft.com/office/spreadsheetml/2010/11/ac" url="C:\Users\lalit\Downloads\Project\Excel Project\"/>
    </mc:Choice>
  </mc:AlternateContent>
  <bookViews>
    <workbookView xWindow="0" yWindow="0" windowWidth="23040" windowHeight="9972" activeTab="2"/>
  </bookViews>
  <sheets>
    <sheet name="PivotTables" sheetId="3" r:id="rId1"/>
    <sheet name="SalesData" sheetId="1" r:id="rId2"/>
    <sheet name="Dashboard" sheetId="2" r:id="rId3"/>
  </sheets>
  <definedNames>
    <definedName name="Slicer_Category1">#N/A</definedName>
    <definedName name="Slicer_Months1">#N/A</definedName>
    <definedName name="Slicer_Region1">#N/A</definedName>
  </definedNames>
  <calcPr calcId="152511"/>
  <pivotCaches>
    <pivotCache cacheId="40" r:id="rId4"/>
  </pivotCaches>
  <fileRecoveryPr repairLoad="1"/>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M4" i="2" l="1"/>
  <c r="I4" i="2"/>
  <c r="D4" i="2"/>
  <c r="N501" i="1"/>
  <c r="M501" i="1"/>
  <c r="N500" i="1"/>
  <c r="M500" i="1"/>
  <c r="N499" i="1"/>
  <c r="M499" i="1"/>
  <c r="N498" i="1"/>
  <c r="M498" i="1"/>
  <c r="N497" i="1"/>
  <c r="M497" i="1"/>
  <c r="N496" i="1"/>
  <c r="M496" i="1"/>
  <c r="N495" i="1"/>
  <c r="M495" i="1"/>
  <c r="N494" i="1"/>
  <c r="M494" i="1"/>
  <c r="N493" i="1"/>
  <c r="M493" i="1"/>
  <c r="N492" i="1"/>
  <c r="M492" i="1"/>
  <c r="N491" i="1"/>
  <c r="M491" i="1"/>
  <c r="N490" i="1"/>
  <c r="M490" i="1"/>
  <c r="N489" i="1"/>
  <c r="M489" i="1"/>
  <c r="N488" i="1"/>
  <c r="M488" i="1"/>
  <c r="N487" i="1"/>
  <c r="M487" i="1"/>
  <c r="N486" i="1"/>
  <c r="M486" i="1"/>
  <c r="N485" i="1"/>
  <c r="M485" i="1"/>
  <c r="N484" i="1"/>
  <c r="M484" i="1"/>
  <c r="N483" i="1"/>
  <c r="M483" i="1"/>
  <c r="N482" i="1"/>
  <c r="M482" i="1"/>
  <c r="N481" i="1"/>
  <c r="M481" i="1"/>
  <c r="N480" i="1"/>
  <c r="M480" i="1"/>
  <c r="N479" i="1"/>
  <c r="M479" i="1"/>
  <c r="N478" i="1"/>
  <c r="M478" i="1"/>
  <c r="N477" i="1"/>
  <c r="M477" i="1"/>
  <c r="N476" i="1"/>
  <c r="M476" i="1"/>
  <c r="N475" i="1"/>
  <c r="M475" i="1"/>
  <c r="N474" i="1"/>
  <c r="M474" i="1"/>
  <c r="N473" i="1"/>
  <c r="M473" i="1"/>
  <c r="N472" i="1"/>
  <c r="M472" i="1"/>
  <c r="N471" i="1"/>
  <c r="M471" i="1"/>
  <c r="N470" i="1"/>
  <c r="M470" i="1"/>
  <c r="N469" i="1"/>
  <c r="M469" i="1"/>
  <c r="N468" i="1"/>
  <c r="M468" i="1"/>
  <c r="N467" i="1"/>
  <c r="M467" i="1"/>
  <c r="N466" i="1"/>
  <c r="M466" i="1"/>
  <c r="N465" i="1"/>
  <c r="M465" i="1"/>
  <c r="N464" i="1"/>
  <c r="M464" i="1"/>
  <c r="N463" i="1"/>
  <c r="M463" i="1"/>
  <c r="N462" i="1"/>
  <c r="M462" i="1"/>
  <c r="N461" i="1"/>
  <c r="M461" i="1"/>
  <c r="N460" i="1"/>
  <c r="M460" i="1"/>
  <c r="N459" i="1"/>
  <c r="M459" i="1"/>
  <c r="N458" i="1"/>
  <c r="M458" i="1"/>
  <c r="N457" i="1"/>
  <c r="M457" i="1"/>
  <c r="N456" i="1"/>
  <c r="M456" i="1"/>
  <c r="N455" i="1"/>
  <c r="M455" i="1"/>
  <c r="N454" i="1"/>
  <c r="M454" i="1"/>
  <c r="N453" i="1"/>
  <c r="M453" i="1"/>
  <c r="N452" i="1"/>
  <c r="M452" i="1"/>
  <c r="N451" i="1"/>
  <c r="M451" i="1"/>
  <c r="N450" i="1"/>
  <c r="M450" i="1"/>
  <c r="N449" i="1"/>
  <c r="M449" i="1"/>
  <c r="N448" i="1"/>
  <c r="M448" i="1"/>
  <c r="N447" i="1"/>
  <c r="M447" i="1"/>
  <c r="N446" i="1"/>
  <c r="M446" i="1"/>
  <c r="N445" i="1"/>
  <c r="M445" i="1"/>
  <c r="N444" i="1"/>
  <c r="M444" i="1"/>
  <c r="N443" i="1"/>
  <c r="M443" i="1"/>
  <c r="N442" i="1"/>
  <c r="M442" i="1"/>
  <c r="N441" i="1"/>
  <c r="M441" i="1"/>
  <c r="N440" i="1"/>
  <c r="M440" i="1"/>
  <c r="N439" i="1"/>
  <c r="M439" i="1"/>
  <c r="N438" i="1"/>
  <c r="M438" i="1"/>
  <c r="N437" i="1"/>
  <c r="M437" i="1"/>
  <c r="N436" i="1"/>
  <c r="M436" i="1"/>
  <c r="N435" i="1"/>
  <c r="M435" i="1"/>
  <c r="N434" i="1"/>
  <c r="M434" i="1"/>
  <c r="N433" i="1"/>
  <c r="M433" i="1"/>
  <c r="N432" i="1"/>
  <c r="M432" i="1"/>
  <c r="N431" i="1"/>
  <c r="M431" i="1"/>
  <c r="N430" i="1"/>
  <c r="M430" i="1"/>
  <c r="N429" i="1"/>
  <c r="M429" i="1"/>
  <c r="N428" i="1"/>
  <c r="M428" i="1"/>
  <c r="N427" i="1"/>
  <c r="M427" i="1"/>
  <c r="N426" i="1"/>
  <c r="M426" i="1"/>
  <c r="N425" i="1"/>
  <c r="M425" i="1"/>
  <c r="N424" i="1"/>
  <c r="M424" i="1"/>
  <c r="N423" i="1"/>
  <c r="M423" i="1"/>
  <c r="N422" i="1"/>
  <c r="M422" i="1"/>
  <c r="N421" i="1"/>
  <c r="M421" i="1"/>
  <c r="N420" i="1"/>
  <c r="M420" i="1"/>
  <c r="N419" i="1"/>
  <c r="M419" i="1"/>
  <c r="N418" i="1"/>
  <c r="M418" i="1"/>
  <c r="N417" i="1"/>
  <c r="M417" i="1"/>
  <c r="N416" i="1"/>
  <c r="M416" i="1"/>
  <c r="N415" i="1"/>
  <c r="M415" i="1"/>
  <c r="N414" i="1"/>
  <c r="M414" i="1"/>
  <c r="N413" i="1"/>
  <c r="M413" i="1"/>
  <c r="N412" i="1"/>
  <c r="M412" i="1"/>
  <c r="N411" i="1"/>
  <c r="M411" i="1"/>
  <c r="N410" i="1"/>
  <c r="M410" i="1"/>
  <c r="N409" i="1"/>
  <c r="M409" i="1"/>
  <c r="N408" i="1"/>
  <c r="M408" i="1"/>
  <c r="N407" i="1"/>
  <c r="M407" i="1"/>
  <c r="N406" i="1"/>
  <c r="M406" i="1"/>
  <c r="N405" i="1"/>
  <c r="M405" i="1"/>
  <c r="N404" i="1"/>
  <c r="M404" i="1"/>
  <c r="N403" i="1"/>
  <c r="M403" i="1"/>
  <c r="N402" i="1"/>
  <c r="M402" i="1"/>
  <c r="N401" i="1"/>
  <c r="M401" i="1"/>
  <c r="N400" i="1"/>
  <c r="M400" i="1"/>
  <c r="N399" i="1"/>
  <c r="M399" i="1"/>
  <c r="N398" i="1"/>
  <c r="M398" i="1"/>
  <c r="N397" i="1"/>
  <c r="M397" i="1"/>
  <c r="N396" i="1"/>
  <c r="M396" i="1"/>
  <c r="N395" i="1"/>
  <c r="M395" i="1"/>
  <c r="N394" i="1"/>
  <c r="M394" i="1"/>
  <c r="N393" i="1"/>
  <c r="M393" i="1"/>
  <c r="N392" i="1"/>
  <c r="M392" i="1"/>
  <c r="N391" i="1"/>
  <c r="M391" i="1"/>
  <c r="N390" i="1"/>
  <c r="M390" i="1"/>
  <c r="N389" i="1"/>
  <c r="M389" i="1"/>
  <c r="N388" i="1"/>
  <c r="M388" i="1"/>
  <c r="N387" i="1"/>
  <c r="M387" i="1"/>
  <c r="N386" i="1"/>
  <c r="M386" i="1"/>
  <c r="N385" i="1"/>
  <c r="M385" i="1"/>
  <c r="N384" i="1"/>
  <c r="M384" i="1"/>
  <c r="N383" i="1"/>
  <c r="M383" i="1"/>
  <c r="N382" i="1"/>
  <c r="M382" i="1"/>
  <c r="N381" i="1"/>
  <c r="M381" i="1"/>
  <c r="N380" i="1"/>
  <c r="M380" i="1"/>
  <c r="N379" i="1"/>
  <c r="M379" i="1"/>
  <c r="N378" i="1"/>
  <c r="M378" i="1"/>
  <c r="N377" i="1"/>
  <c r="M377" i="1"/>
  <c r="N376" i="1"/>
  <c r="M376" i="1"/>
  <c r="N375" i="1"/>
  <c r="M375" i="1"/>
  <c r="N374" i="1"/>
  <c r="M374" i="1"/>
  <c r="N373" i="1"/>
  <c r="M373" i="1"/>
  <c r="N372" i="1"/>
  <c r="M372" i="1"/>
  <c r="N371" i="1"/>
  <c r="M371" i="1"/>
  <c r="N370" i="1"/>
  <c r="M370" i="1"/>
  <c r="N369" i="1"/>
  <c r="M369" i="1"/>
  <c r="N368" i="1"/>
  <c r="M368" i="1"/>
  <c r="N367" i="1"/>
  <c r="M367" i="1"/>
  <c r="N366" i="1"/>
  <c r="M366" i="1"/>
  <c r="N365" i="1"/>
  <c r="M365" i="1"/>
  <c r="N364" i="1"/>
  <c r="M364" i="1"/>
  <c r="N363" i="1"/>
  <c r="M363" i="1"/>
  <c r="N362" i="1"/>
  <c r="M362" i="1"/>
  <c r="N361" i="1"/>
  <c r="M361" i="1"/>
  <c r="N360" i="1"/>
  <c r="M360" i="1"/>
  <c r="N359" i="1"/>
  <c r="M359" i="1"/>
  <c r="N358" i="1"/>
  <c r="M358" i="1"/>
  <c r="N357" i="1"/>
  <c r="M357" i="1"/>
  <c r="N356" i="1"/>
  <c r="M356" i="1"/>
  <c r="N355" i="1"/>
  <c r="M355" i="1"/>
  <c r="N354" i="1"/>
  <c r="M354" i="1"/>
  <c r="N353" i="1"/>
  <c r="M353" i="1"/>
  <c r="N352" i="1"/>
  <c r="M352" i="1"/>
  <c r="N351" i="1"/>
  <c r="M351" i="1"/>
  <c r="N350" i="1"/>
  <c r="M350" i="1"/>
  <c r="N349" i="1"/>
  <c r="M349" i="1"/>
  <c r="N348" i="1"/>
  <c r="M348" i="1"/>
  <c r="N347" i="1"/>
  <c r="M347" i="1"/>
  <c r="N346" i="1"/>
  <c r="M346" i="1"/>
  <c r="N345" i="1"/>
  <c r="M345" i="1"/>
  <c r="N344" i="1"/>
  <c r="M344" i="1"/>
  <c r="N343" i="1"/>
  <c r="M343" i="1"/>
  <c r="N342" i="1"/>
  <c r="M342" i="1"/>
  <c r="N341" i="1"/>
  <c r="M341" i="1"/>
  <c r="N340" i="1"/>
  <c r="M340" i="1"/>
  <c r="N339" i="1"/>
  <c r="M339" i="1"/>
  <c r="N338" i="1"/>
  <c r="M338" i="1"/>
  <c r="N337" i="1"/>
  <c r="M337" i="1"/>
  <c r="N336" i="1"/>
  <c r="M336" i="1"/>
  <c r="N335" i="1"/>
  <c r="M335" i="1"/>
  <c r="N334" i="1"/>
  <c r="M334" i="1"/>
  <c r="N333" i="1"/>
  <c r="M333" i="1"/>
  <c r="N332" i="1"/>
  <c r="M332" i="1"/>
  <c r="N331" i="1"/>
  <c r="M331" i="1"/>
  <c r="N330" i="1"/>
  <c r="M330" i="1"/>
  <c r="N329" i="1"/>
  <c r="M329" i="1"/>
  <c r="N328" i="1"/>
  <c r="M328" i="1"/>
  <c r="N327" i="1"/>
  <c r="M327" i="1"/>
  <c r="N326" i="1"/>
  <c r="M326" i="1"/>
  <c r="N325" i="1"/>
  <c r="M325" i="1"/>
  <c r="N324" i="1"/>
  <c r="M324" i="1"/>
  <c r="N323" i="1"/>
  <c r="M323" i="1"/>
  <c r="N322" i="1"/>
  <c r="M322" i="1"/>
  <c r="N321" i="1"/>
  <c r="M321" i="1"/>
  <c r="N320" i="1"/>
  <c r="M320" i="1"/>
  <c r="N319" i="1"/>
  <c r="M319" i="1"/>
  <c r="N318" i="1"/>
  <c r="M318" i="1"/>
  <c r="N317" i="1"/>
  <c r="M317" i="1"/>
  <c r="N316" i="1"/>
  <c r="M316" i="1"/>
  <c r="N315" i="1"/>
  <c r="M315" i="1"/>
  <c r="N314" i="1"/>
  <c r="M314" i="1"/>
  <c r="N313" i="1"/>
  <c r="M313" i="1"/>
  <c r="N312" i="1"/>
  <c r="M312" i="1"/>
  <c r="N311" i="1"/>
  <c r="M311" i="1"/>
  <c r="N310" i="1"/>
  <c r="M310" i="1"/>
  <c r="N309" i="1"/>
  <c r="M309" i="1"/>
  <c r="N308" i="1"/>
  <c r="M308" i="1"/>
  <c r="N307" i="1"/>
  <c r="M307" i="1"/>
  <c r="N306" i="1"/>
  <c r="M306" i="1"/>
  <c r="N305" i="1"/>
  <c r="M305" i="1"/>
  <c r="N304" i="1"/>
  <c r="M304" i="1"/>
  <c r="N303" i="1"/>
  <c r="M303" i="1"/>
  <c r="N302" i="1"/>
  <c r="M302" i="1"/>
  <c r="N301" i="1"/>
  <c r="M301" i="1"/>
  <c r="N300" i="1"/>
  <c r="M300" i="1"/>
  <c r="N299" i="1"/>
  <c r="M299" i="1"/>
  <c r="N298" i="1"/>
  <c r="M298" i="1"/>
  <c r="N297" i="1"/>
  <c r="M297" i="1"/>
  <c r="N296" i="1"/>
  <c r="M296" i="1"/>
  <c r="N295" i="1"/>
  <c r="M295" i="1"/>
  <c r="N294" i="1"/>
  <c r="M294" i="1"/>
  <c r="N293" i="1"/>
  <c r="M293" i="1"/>
  <c r="N292" i="1"/>
  <c r="M292" i="1"/>
  <c r="N291" i="1"/>
  <c r="M291" i="1"/>
  <c r="N290" i="1"/>
  <c r="M290" i="1"/>
  <c r="N289" i="1"/>
  <c r="M289" i="1"/>
  <c r="N288" i="1"/>
  <c r="M288" i="1"/>
  <c r="N287" i="1"/>
  <c r="M287" i="1"/>
  <c r="N286" i="1"/>
  <c r="M286" i="1"/>
  <c r="N285" i="1"/>
  <c r="M285" i="1"/>
  <c r="N284" i="1"/>
  <c r="M284" i="1"/>
  <c r="N283" i="1"/>
  <c r="M283" i="1"/>
  <c r="N282" i="1"/>
  <c r="M282" i="1"/>
  <c r="N281" i="1"/>
  <c r="M281" i="1"/>
  <c r="N280" i="1"/>
  <c r="M280" i="1"/>
  <c r="N279" i="1"/>
  <c r="M279" i="1"/>
  <c r="N278" i="1"/>
  <c r="M278" i="1"/>
  <c r="N277" i="1"/>
  <c r="M277" i="1"/>
  <c r="N276" i="1"/>
  <c r="M276" i="1"/>
  <c r="N275" i="1"/>
  <c r="M275" i="1"/>
  <c r="N274" i="1"/>
  <c r="M274" i="1"/>
  <c r="N273" i="1"/>
  <c r="M273" i="1"/>
  <c r="N272" i="1"/>
  <c r="M272" i="1"/>
  <c r="N271" i="1"/>
  <c r="M271" i="1"/>
  <c r="N270" i="1"/>
  <c r="M270" i="1"/>
  <c r="N269" i="1"/>
  <c r="M269" i="1"/>
  <c r="N268" i="1"/>
  <c r="M268" i="1"/>
  <c r="N267" i="1"/>
  <c r="M267" i="1"/>
  <c r="N266" i="1"/>
  <c r="M266" i="1"/>
  <c r="N265" i="1"/>
  <c r="M265" i="1"/>
  <c r="N264" i="1"/>
  <c r="M264" i="1"/>
  <c r="N263" i="1"/>
  <c r="M263" i="1"/>
  <c r="N262" i="1"/>
  <c r="M262" i="1"/>
  <c r="N261" i="1"/>
  <c r="M261" i="1"/>
  <c r="N260" i="1"/>
  <c r="M260" i="1"/>
  <c r="N259" i="1"/>
  <c r="M259" i="1"/>
  <c r="N258" i="1"/>
  <c r="M258" i="1"/>
  <c r="N257" i="1"/>
  <c r="M257" i="1"/>
  <c r="N256" i="1"/>
  <c r="M256" i="1"/>
  <c r="N255" i="1"/>
  <c r="M255" i="1"/>
  <c r="N254" i="1"/>
  <c r="M254" i="1"/>
  <c r="N253" i="1"/>
  <c r="M253" i="1"/>
  <c r="N252" i="1"/>
  <c r="M252" i="1"/>
  <c r="N251" i="1"/>
  <c r="M251" i="1"/>
  <c r="N250" i="1"/>
  <c r="M250" i="1"/>
  <c r="N249" i="1"/>
  <c r="M249" i="1"/>
  <c r="N248" i="1"/>
  <c r="M248" i="1"/>
  <c r="N247" i="1"/>
  <c r="M247" i="1"/>
  <c r="N246" i="1"/>
  <c r="M246" i="1"/>
  <c r="N245" i="1"/>
  <c r="M245" i="1"/>
  <c r="N244" i="1"/>
  <c r="M244" i="1"/>
  <c r="N243" i="1"/>
  <c r="M243" i="1"/>
  <c r="N242" i="1"/>
  <c r="M242" i="1"/>
  <c r="N241" i="1"/>
  <c r="M241" i="1"/>
  <c r="N240" i="1"/>
  <c r="M240" i="1"/>
  <c r="N239" i="1"/>
  <c r="M239" i="1"/>
  <c r="N238" i="1"/>
  <c r="M238" i="1"/>
  <c r="N237" i="1"/>
  <c r="M237" i="1"/>
  <c r="N236" i="1"/>
  <c r="M236" i="1"/>
  <c r="N235" i="1"/>
  <c r="M235" i="1"/>
  <c r="N234" i="1"/>
  <c r="M234" i="1"/>
  <c r="N233" i="1"/>
  <c r="M233" i="1"/>
  <c r="N232" i="1"/>
  <c r="M232" i="1"/>
  <c r="N231" i="1"/>
  <c r="M231" i="1"/>
  <c r="N230" i="1"/>
  <c r="M230" i="1"/>
  <c r="N229" i="1"/>
  <c r="M229" i="1"/>
  <c r="N228" i="1"/>
  <c r="M228" i="1"/>
  <c r="N227" i="1"/>
  <c r="M227" i="1"/>
  <c r="N226" i="1"/>
  <c r="M226" i="1"/>
  <c r="N225" i="1"/>
  <c r="M225" i="1"/>
  <c r="N224" i="1"/>
  <c r="M224" i="1"/>
  <c r="N223" i="1"/>
  <c r="M223" i="1"/>
  <c r="N222" i="1"/>
  <c r="M222" i="1"/>
  <c r="N221" i="1"/>
  <c r="M221" i="1"/>
  <c r="N220" i="1"/>
  <c r="M220" i="1"/>
  <c r="N219" i="1"/>
  <c r="M219" i="1"/>
  <c r="N218" i="1"/>
  <c r="M218" i="1"/>
  <c r="N217" i="1"/>
  <c r="M217" i="1"/>
  <c r="N216" i="1"/>
  <c r="M216" i="1"/>
  <c r="N215" i="1"/>
  <c r="M215" i="1"/>
  <c r="N214" i="1"/>
  <c r="M214" i="1"/>
  <c r="N213" i="1"/>
  <c r="M213" i="1"/>
  <c r="N212" i="1"/>
  <c r="M212" i="1"/>
  <c r="N211" i="1"/>
  <c r="M211" i="1"/>
  <c r="N210" i="1"/>
  <c r="M210" i="1"/>
  <c r="N209" i="1"/>
  <c r="M209" i="1"/>
  <c r="N208" i="1"/>
  <c r="M208" i="1"/>
  <c r="N207" i="1"/>
  <c r="M207" i="1"/>
  <c r="N206" i="1"/>
  <c r="M206" i="1"/>
  <c r="N205" i="1"/>
  <c r="M205" i="1"/>
  <c r="N204" i="1"/>
  <c r="M204" i="1"/>
  <c r="N203" i="1"/>
  <c r="M203" i="1"/>
  <c r="N202" i="1"/>
  <c r="M202" i="1"/>
  <c r="N201" i="1"/>
  <c r="M201" i="1"/>
  <c r="N200" i="1"/>
  <c r="M200" i="1"/>
  <c r="N199" i="1"/>
  <c r="M199" i="1"/>
  <c r="N198" i="1"/>
  <c r="M198" i="1"/>
  <c r="N197" i="1"/>
  <c r="M197" i="1"/>
  <c r="N196" i="1"/>
  <c r="M196" i="1"/>
  <c r="N195" i="1"/>
  <c r="M195" i="1"/>
  <c r="N194" i="1"/>
  <c r="M194" i="1"/>
  <c r="N193" i="1"/>
  <c r="M193" i="1"/>
  <c r="N192" i="1"/>
  <c r="M192" i="1"/>
  <c r="N191" i="1"/>
  <c r="M191" i="1"/>
  <c r="N190" i="1"/>
  <c r="M190" i="1"/>
  <c r="N189" i="1"/>
  <c r="M189" i="1"/>
  <c r="N188" i="1"/>
  <c r="M188" i="1"/>
  <c r="N187" i="1"/>
  <c r="M187" i="1"/>
  <c r="N186" i="1"/>
  <c r="M186" i="1"/>
  <c r="N185" i="1"/>
  <c r="M185" i="1"/>
  <c r="N184" i="1"/>
  <c r="M184" i="1"/>
  <c r="N183" i="1"/>
  <c r="M183" i="1"/>
  <c r="N182" i="1"/>
  <c r="M182" i="1"/>
  <c r="N181" i="1"/>
  <c r="M181" i="1"/>
  <c r="N180" i="1"/>
  <c r="M180" i="1"/>
  <c r="N179" i="1"/>
  <c r="M179" i="1"/>
  <c r="N178" i="1"/>
  <c r="M178" i="1"/>
  <c r="N177" i="1"/>
  <c r="M177" i="1"/>
  <c r="N176" i="1"/>
  <c r="M176" i="1"/>
  <c r="N175" i="1"/>
  <c r="M175" i="1"/>
  <c r="N174" i="1"/>
  <c r="M174" i="1"/>
  <c r="N173" i="1"/>
  <c r="M173" i="1"/>
  <c r="N172" i="1"/>
  <c r="M172" i="1"/>
  <c r="N171" i="1"/>
  <c r="M171" i="1"/>
  <c r="N170" i="1"/>
  <c r="M170" i="1"/>
  <c r="N169" i="1"/>
  <c r="M169" i="1"/>
  <c r="N168" i="1"/>
  <c r="M168" i="1"/>
  <c r="N167" i="1"/>
  <c r="M167" i="1"/>
  <c r="N166" i="1"/>
  <c r="M166" i="1"/>
  <c r="N165" i="1"/>
  <c r="M165" i="1"/>
  <c r="N164" i="1"/>
  <c r="M164" i="1"/>
  <c r="N163" i="1"/>
  <c r="M163" i="1"/>
  <c r="N162" i="1"/>
  <c r="M162" i="1"/>
  <c r="N161" i="1"/>
  <c r="M161" i="1"/>
  <c r="N160" i="1"/>
  <c r="M160" i="1"/>
  <c r="N159" i="1"/>
  <c r="M159" i="1"/>
  <c r="N158" i="1"/>
  <c r="M158" i="1"/>
  <c r="N157" i="1"/>
  <c r="M157" i="1"/>
  <c r="N156" i="1"/>
  <c r="M156" i="1"/>
  <c r="N155" i="1"/>
  <c r="M155" i="1"/>
  <c r="N154" i="1"/>
  <c r="M154" i="1"/>
  <c r="N153" i="1"/>
  <c r="M153" i="1"/>
  <c r="N152" i="1"/>
  <c r="M152" i="1"/>
  <c r="N151" i="1"/>
  <c r="M151" i="1"/>
  <c r="N150" i="1"/>
  <c r="M150" i="1"/>
  <c r="N149" i="1"/>
  <c r="M149" i="1"/>
  <c r="N148" i="1"/>
  <c r="M148" i="1"/>
  <c r="N147" i="1"/>
  <c r="M147" i="1"/>
  <c r="N146" i="1"/>
  <c r="M146" i="1"/>
  <c r="N145" i="1"/>
  <c r="M145" i="1"/>
  <c r="N144" i="1"/>
  <c r="M144" i="1"/>
  <c r="N143" i="1"/>
  <c r="M143" i="1"/>
  <c r="N142" i="1"/>
  <c r="M142" i="1"/>
  <c r="N141" i="1"/>
  <c r="M141" i="1"/>
  <c r="N140" i="1"/>
  <c r="M140" i="1"/>
  <c r="N139" i="1"/>
  <c r="M139" i="1"/>
  <c r="N138" i="1"/>
  <c r="M138" i="1"/>
  <c r="N137" i="1"/>
  <c r="M137" i="1"/>
  <c r="N136" i="1"/>
  <c r="M136" i="1"/>
  <c r="N135" i="1"/>
  <c r="M135" i="1"/>
  <c r="N134" i="1"/>
  <c r="M134" i="1"/>
  <c r="N133" i="1"/>
  <c r="M133" i="1"/>
  <c r="N132" i="1"/>
  <c r="M132" i="1"/>
  <c r="N131" i="1"/>
  <c r="M131" i="1"/>
  <c r="N130" i="1"/>
  <c r="M130" i="1"/>
  <c r="N129" i="1"/>
  <c r="M129" i="1"/>
  <c r="N128" i="1"/>
  <c r="M128" i="1"/>
  <c r="N127" i="1"/>
  <c r="M127" i="1"/>
  <c r="N126" i="1"/>
  <c r="M126" i="1"/>
  <c r="N125" i="1"/>
  <c r="M125" i="1"/>
  <c r="N124" i="1"/>
  <c r="M124" i="1"/>
  <c r="N123" i="1"/>
  <c r="M123" i="1"/>
  <c r="N122" i="1"/>
  <c r="M122" i="1"/>
  <c r="N121" i="1"/>
  <c r="M121" i="1"/>
  <c r="N120" i="1"/>
  <c r="M120" i="1"/>
  <c r="N119" i="1"/>
  <c r="M119" i="1"/>
  <c r="N118" i="1"/>
  <c r="M118" i="1"/>
  <c r="N117" i="1"/>
  <c r="M117" i="1"/>
  <c r="N116" i="1"/>
  <c r="M116" i="1"/>
  <c r="N115" i="1"/>
  <c r="M115" i="1"/>
  <c r="N114" i="1"/>
  <c r="M114" i="1"/>
  <c r="N113" i="1"/>
  <c r="M113" i="1"/>
  <c r="N112" i="1"/>
  <c r="M112" i="1"/>
  <c r="N111" i="1"/>
  <c r="M111" i="1"/>
  <c r="N110" i="1"/>
  <c r="M110" i="1"/>
  <c r="N109" i="1"/>
  <c r="M109" i="1"/>
  <c r="N108" i="1"/>
  <c r="M108" i="1"/>
  <c r="N107" i="1"/>
  <c r="M107" i="1"/>
  <c r="N106" i="1"/>
  <c r="M106" i="1"/>
  <c r="N105" i="1"/>
  <c r="M105" i="1"/>
  <c r="N104" i="1"/>
  <c r="M104" i="1"/>
  <c r="N103" i="1"/>
  <c r="M103" i="1"/>
  <c r="N102" i="1"/>
  <c r="M102" i="1"/>
  <c r="N101" i="1"/>
  <c r="M101" i="1"/>
  <c r="N100" i="1"/>
  <c r="M100" i="1"/>
  <c r="N99" i="1"/>
  <c r="M99" i="1"/>
  <c r="N98" i="1"/>
  <c r="M98" i="1"/>
  <c r="N97" i="1"/>
  <c r="M97" i="1"/>
  <c r="N96" i="1"/>
  <c r="M96" i="1"/>
  <c r="N95" i="1"/>
  <c r="M95" i="1"/>
  <c r="N94" i="1"/>
  <c r="M94" i="1"/>
  <c r="N93" i="1"/>
  <c r="M93" i="1"/>
  <c r="N92" i="1"/>
  <c r="M92" i="1"/>
  <c r="N91" i="1"/>
  <c r="M91" i="1"/>
  <c r="N90" i="1"/>
  <c r="M90" i="1"/>
  <c r="N89" i="1"/>
  <c r="M89" i="1"/>
  <c r="N88" i="1"/>
  <c r="M88" i="1"/>
  <c r="N87" i="1"/>
  <c r="M87" i="1"/>
  <c r="N86" i="1"/>
  <c r="M86" i="1"/>
  <c r="N85" i="1"/>
  <c r="M85" i="1"/>
  <c r="N84" i="1"/>
  <c r="M84" i="1"/>
  <c r="N83" i="1"/>
  <c r="M83" i="1"/>
  <c r="N82" i="1"/>
  <c r="M82" i="1"/>
  <c r="N81" i="1"/>
  <c r="M81" i="1"/>
  <c r="N80" i="1"/>
  <c r="M80" i="1"/>
  <c r="N79" i="1"/>
  <c r="M79" i="1"/>
  <c r="N78" i="1"/>
  <c r="M78" i="1"/>
  <c r="N77" i="1"/>
  <c r="M77" i="1"/>
  <c r="N76" i="1"/>
  <c r="M76" i="1"/>
  <c r="N75" i="1"/>
  <c r="M75" i="1"/>
  <c r="N74" i="1"/>
  <c r="M74" i="1"/>
  <c r="N73" i="1"/>
  <c r="M73" i="1"/>
  <c r="N72" i="1"/>
  <c r="M72" i="1"/>
  <c r="N71" i="1"/>
  <c r="M71" i="1"/>
  <c r="N70" i="1"/>
  <c r="M70" i="1"/>
  <c r="N69" i="1"/>
  <c r="M69" i="1"/>
  <c r="N68" i="1"/>
  <c r="M68" i="1"/>
  <c r="N67" i="1"/>
  <c r="M67" i="1"/>
  <c r="N66" i="1"/>
  <c r="M66" i="1"/>
  <c r="N65" i="1"/>
  <c r="M65" i="1"/>
  <c r="N64" i="1"/>
  <c r="M64" i="1"/>
  <c r="N63" i="1"/>
  <c r="M63" i="1"/>
  <c r="N62" i="1"/>
  <c r="M62" i="1"/>
  <c r="N61" i="1"/>
  <c r="M61" i="1"/>
  <c r="N60" i="1"/>
  <c r="M60" i="1"/>
  <c r="N59" i="1"/>
  <c r="M59" i="1"/>
  <c r="N58" i="1"/>
  <c r="M58" i="1"/>
  <c r="N57" i="1"/>
  <c r="M57" i="1"/>
  <c r="N56" i="1"/>
  <c r="M56" i="1"/>
  <c r="N55" i="1"/>
  <c r="M55" i="1"/>
  <c r="N54" i="1"/>
  <c r="M54" i="1"/>
  <c r="N53" i="1"/>
  <c r="M53" i="1"/>
  <c r="N52" i="1"/>
  <c r="M52" i="1"/>
  <c r="N51" i="1"/>
  <c r="M51" i="1"/>
  <c r="N50" i="1"/>
  <c r="M50" i="1"/>
  <c r="N49" i="1"/>
  <c r="M49" i="1"/>
  <c r="N48" i="1"/>
  <c r="M48" i="1"/>
  <c r="N47" i="1"/>
  <c r="M47" i="1"/>
  <c r="N46" i="1"/>
  <c r="M46" i="1"/>
  <c r="N45" i="1"/>
  <c r="M45" i="1"/>
  <c r="N44" i="1"/>
  <c r="M44" i="1"/>
  <c r="N43" i="1"/>
  <c r="M43" i="1"/>
  <c r="N42" i="1"/>
  <c r="M42" i="1"/>
  <c r="N41" i="1"/>
  <c r="M41" i="1"/>
  <c r="N40" i="1"/>
  <c r="M40" i="1"/>
  <c r="N39" i="1"/>
  <c r="M39" i="1"/>
  <c r="N38" i="1"/>
  <c r="M38" i="1"/>
  <c r="N37" i="1"/>
  <c r="M37" i="1"/>
  <c r="N36" i="1"/>
  <c r="M36" i="1"/>
  <c r="N35" i="1"/>
  <c r="M35" i="1"/>
  <c r="N34" i="1"/>
  <c r="M34" i="1"/>
  <c r="N33" i="1"/>
  <c r="M33" i="1"/>
  <c r="N32" i="1"/>
  <c r="M32" i="1"/>
  <c r="N31" i="1"/>
  <c r="M31" i="1"/>
  <c r="N30" i="1"/>
  <c r="M30" i="1"/>
  <c r="N29" i="1"/>
  <c r="M29" i="1"/>
  <c r="N28" i="1"/>
  <c r="M28" i="1"/>
  <c r="N27" i="1"/>
  <c r="M27" i="1"/>
  <c r="N26" i="1"/>
  <c r="M26" i="1"/>
  <c r="N25" i="1"/>
  <c r="M25" i="1"/>
  <c r="N24" i="1"/>
  <c r="M24" i="1"/>
  <c r="N23" i="1"/>
  <c r="M23" i="1"/>
  <c r="N22" i="1"/>
  <c r="M22" i="1"/>
  <c r="N21" i="1"/>
  <c r="M21" i="1"/>
  <c r="N20" i="1"/>
  <c r="M20" i="1"/>
  <c r="N19" i="1"/>
  <c r="M19" i="1"/>
  <c r="N18" i="1"/>
  <c r="M18" i="1"/>
  <c r="N17" i="1"/>
  <c r="M17" i="1"/>
  <c r="N16" i="1"/>
  <c r="M16" i="1"/>
  <c r="N15" i="1"/>
  <c r="M15" i="1"/>
  <c r="N14" i="1"/>
  <c r="M14" i="1"/>
  <c r="N13" i="1"/>
  <c r="M13" i="1"/>
  <c r="N12" i="1"/>
  <c r="M12" i="1"/>
  <c r="N11" i="1"/>
  <c r="M11" i="1"/>
  <c r="N10" i="1"/>
  <c r="M10" i="1"/>
  <c r="N9" i="1"/>
  <c r="M9" i="1"/>
  <c r="N8" i="1"/>
  <c r="M8" i="1"/>
  <c r="N7" i="1"/>
  <c r="M7" i="1"/>
  <c r="N6" i="1"/>
  <c r="M6" i="1"/>
  <c r="N5" i="1"/>
  <c r="M5" i="1"/>
  <c r="N4" i="1"/>
  <c r="M4" i="1"/>
  <c r="N3" i="1"/>
  <c r="M3" i="1"/>
  <c r="N2" i="1"/>
  <c r="M2" i="1"/>
  <c r="M8" i="2" l="1"/>
  <c r="D8" i="2"/>
</calcChain>
</file>

<file path=xl/sharedStrings.xml><?xml version="1.0" encoding="utf-8"?>
<sst xmlns="http://schemas.openxmlformats.org/spreadsheetml/2006/main" count="4124" uniqueCount="881">
  <si>
    <t>Order ID</t>
  </si>
  <si>
    <t>Order Date</t>
  </si>
  <si>
    <t>Customer</t>
  </si>
  <si>
    <t>Region</t>
  </si>
  <si>
    <t>State</t>
  </si>
  <si>
    <t>Category</t>
  </si>
  <si>
    <t>Product</t>
  </si>
  <si>
    <t>Salesperson</t>
  </si>
  <si>
    <t>Quantity</t>
  </si>
  <si>
    <t>Sales</t>
  </si>
  <si>
    <t>Cost</t>
  </si>
  <si>
    <t>Profit</t>
  </si>
  <si>
    <t>ORD1000</t>
  </si>
  <si>
    <t>2025-04-26</t>
  </si>
  <si>
    <t>Sneha</t>
  </si>
  <si>
    <t>South</t>
  </si>
  <si>
    <t>Karnataka</t>
  </si>
  <si>
    <t>Furniture</t>
  </si>
  <si>
    <t>Table</t>
  </si>
  <si>
    <t>Vivek</t>
  </si>
  <si>
    <t>ORD1001</t>
  </si>
  <si>
    <t>2025-01-13</t>
  </si>
  <si>
    <t>Amit</t>
  </si>
  <si>
    <t>East</t>
  </si>
  <si>
    <t>Bihar</t>
  </si>
  <si>
    <t>Electronics</t>
  </si>
  <si>
    <t>Keyboard</t>
  </si>
  <si>
    <t>Asha</t>
  </si>
  <si>
    <t>ORD1002</t>
  </si>
  <si>
    <t>2025-09-26</t>
  </si>
  <si>
    <t>Nisha</t>
  </si>
  <si>
    <t>Telangana</t>
  </si>
  <si>
    <t>Laptop</t>
  </si>
  <si>
    <t>Ajay</t>
  </si>
  <si>
    <t>ORD1003</t>
  </si>
  <si>
    <t>2025-07-19</t>
  </si>
  <si>
    <t>Neha</t>
  </si>
  <si>
    <t>West Bengal</t>
  </si>
  <si>
    <t>Bookshelf</t>
  </si>
  <si>
    <t>Ravi</t>
  </si>
  <si>
    <t>ORD1004</t>
  </si>
  <si>
    <t>2025-12-04</t>
  </si>
  <si>
    <t>Simran</t>
  </si>
  <si>
    <t>Odisha</t>
  </si>
  <si>
    <t>Komal</t>
  </si>
  <si>
    <t>ORD1005</t>
  </si>
  <si>
    <t>2025-06-14</t>
  </si>
  <si>
    <t>Pooja</t>
  </si>
  <si>
    <t>West</t>
  </si>
  <si>
    <t>Goa</t>
  </si>
  <si>
    <t>Office Supplies</t>
  </si>
  <si>
    <t>Paper</t>
  </si>
  <si>
    <t>ORD1006</t>
  </si>
  <si>
    <t>2025-08-16</t>
  </si>
  <si>
    <t>North</t>
  </si>
  <si>
    <t>Uttar Pradesh</t>
  </si>
  <si>
    <t>Mouse</t>
  </si>
  <si>
    <t>ORD1007</t>
  </si>
  <si>
    <t>2025-08-31</t>
  </si>
  <si>
    <t>Assam</t>
  </si>
  <si>
    <t>Sanjay</t>
  </si>
  <si>
    <t>ORD1008</t>
  </si>
  <si>
    <t>2025-07-15</t>
  </si>
  <si>
    <t>Cabinet</t>
  </si>
  <si>
    <t>Meena</t>
  </si>
  <si>
    <t>ORD1009</t>
  </si>
  <si>
    <t>2025-09-25</t>
  </si>
  <si>
    <t>Gujarat</t>
  </si>
  <si>
    <t>ORD1010</t>
  </si>
  <si>
    <t>2025-09-08</t>
  </si>
  <si>
    <t>Deepak</t>
  </si>
  <si>
    <t>Monitor</t>
  </si>
  <si>
    <t>ORD1011</t>
  </si>
  <si>
    <t>2025-08-17</t>
  </si>
  <si>
    <t>Rahul</t>
  </si>
  <si>
    <t>Haryana</t>
  </si>
  <si>
    <t>Desk</t>
  </si>
  <si>
    <t>ORD1012</t>
  </si>
  <si>
    <t>2025-07-14</t>
  </si>
  <si>
    <t>Riya</t>
  </si>
  <si>
    <t>Stapler</t>
  </si>
  <si>
    <t>ORD1013</t>
  </si>
  <si>
    <t>2025-03-18</t>
  </si>
  <si>
    <t>Anjali</t>
  </si>
  <si>
    <t>Maharashtra</t>
  </si>
  <si>
    <t>Sunita</t>
  </si>
  <si>
    <t>ORD1014</t>
  </si>
  <si>
    <t>2025-04-04</t>
  </si>
  <si>
    <t>ORD1015</t>
  </si>
  <si>
    <t>Tamil Nadu</t>
  </si>
  <si>
    <t>ORD1016</t>
  </si>
  <si>
    <t>2025-05-01</t>
  </si>
  <si>
    <t>ORD1017</t>
  </si>
  <si>
    <t>2025-11-09</t>
  </si>
  <si>
    <t>Manish</t>
  </si>
  <si>
    <t>Marker</t>
  </si>
  <si>
    <t>ORD1018</t>
  </si>
  <si>
    <t>2025-03-12</t>
  </si>
  <si>
    <t>Punjab</t>
  </si>
  <si>
    <t>ORD1019</t>
  </si>
  <si>
    <t>2025-05-08</t>
  </si>
  <si>
    <t>ORD1020</t>
  </si>
  <si>
    <t>2025-04-11</t>
  </si>
  <si>
    <t>Priya</t>
  </si>
  <si>
    <t>ORD1021</t>
  </si>
  <si>
    <t>2025-07-04</t>
  </si>
  <si>
    <t>Rohit</t>
  </si>
  <si>
    <t>Rajasthan</t>
  </si>
  <si>
    <t>ORD1022</t>
  </si>
  <si>
    <t>2025-11-27</t>
  </si>
  <si>
    <t>Pen</t>
  </si>
  <si>
    <t>ORD1023</t>
  </si>
  <si>
    <t>2025-11-29</t>
  </si>
  <si>
    <t>Ankit</t>
  </si>
  <si>
    <t>ORD1024</t>
  </si>
  <si>
    <t>2025-02-19</t>
  </si>
  <si>
    <t>Chair</t>
  </si>
  <si>
    <t>ORD1025</t>
  </si>
  <si>
    <t>ORD1026</t>
  </si>
  <si>
    <t>ORD1027</t>
  </si>
  <si>
    <t>2025-11-08</t>
  </si>
  <si>
    <t>ORD1028</t>
  </si>
  <si>
    <t>2025-12-11</t>
  </si>
  <si>
    <t>ORD1029</t>
  </si>
  <si>
    <t>ORD1030</t>
  </si>
  <si>
    <t>2025-01-20</t>
  </si>
  <si>
    <t>ORD1031</t>
  </si>
  <si>
    <t>2025-05-26</t>
  </si>
  <si>
    <t>ORD1032</t>
  </si>
  <si>
    <t>2025-03-23</t>
  </si>
  <si>
    <t>ORD1033</t>
  </si>
  <si>
    <t>2025-11-28</t>
  </si>
  <si>
    <t>Arjun</t>
  </si>
  <si>
    <t>Delhi</t>
  </si>
  <si>
    <t>Notebook</t>
  </si>
  <si>
    <t>ORD1034</t>
  </si>
  <si>
    <t>2025-12-29</t>
  </si>
  <si>
    <t>ORD1035</t>
  </si>
  <si>
    <t>2025-12-17</t>
  </si>
  <si>
    <t>ORD1036</t>
  </si>
  <si>
    <t>2025-07-05</t>
  </si>
  <si>
    <t>ORD1037</t>
  </si>
  <si>
    <t>2025-10-28</t>
  </si>
  <si>
    <t>Kavya</t>
  </si>
  <si>
    <t>ORD1038</t>
  </si>
  <si>
    <t>2025-06-30</t>
  </si>
  <si>
    <t>ORD1039</t>
  </si>
  <si>
    <t>2025-01-27</t>
  </si>
  <si>
    <t>ORD1040</t>
  </si>
  <si>
    <t>2025-11-16</t>
  </si>
  <si>
    <t>ORD1041</t>
  </si>
  <si>
    <t>ORD1042</t>
  </si>
  <si>
    <t>2025-12-23</t>
  </si>
  <si>
    <t>ORD1043</t>
  </si>
  <si>
    <t>2025-04-23</t>
  </si>
  <si>
    <t>ORD1044</t>
  </si>
  <si>
    <t>2025-12-02</t>
  </si>
  <si>
    <t>ORD1045</t>
  </si>
  <si>
    <t>Printer</t>
  </si>
  <si>
    <t>ORD1046</t>
  </si>
  <si>
    <t>2025-02-24</t>
  </si>
  <si>
    <t>Karan</t>
  </si>
  <si>
    <t>ORD1047</t>
  </si>
  <si>
    <t>2025-02-11</t>
  </si>
  <si>
    <t>ORD1048</t>
  </si>
  <si>
    <t>ORD1049</t>
  </si>
  <si>
    <t>2025-06-27</t>
  </si>
  <si>
    <t>ORD1050</t>
  </si>
  <si>
    <t>2025-08-22</t>
  </si>
  <si>
    <t>ORD1051</t>
  </si>
  <si>
    <t>ORD1052</t>
  </si>
  <si>
    <t>2025-08-09</t>
  </si>
  <si>
    <t>ORD1053</t>
  </si>
  <si>
    <t>2025-05-11</t>
  </si>
  <si>
    <t>ORD1054</t>
  </si>
  <si>
    <t>2025-10-21</t>
  </si>
  <si>
    <t>ORD1055</t>
  </si>
  <si>
    <t>2025-04-28</t>
  </si>
  <si>
    <t>ORD1056</t>
  </si>
  <si>
    <t>ORD1057</t>
  </si>
  <si>
    <t>2025-11-22</t>
  </si>
  <si>
    <t>ORD1058</t>
  </si>
  <si>
    <t>2025-04-14</t>
  </si>
  <si>
    <t>Kerala</t>
  </si>
  <si>
    <t>ORD1059</t>
  </si>
  <si>
    <t>2025-08-29</t>
  </si>
  <si>
    <t>ORD1060</t>
  </si>
  <si>
    <t>2025-07-23</t>
  </si>
  <si>
    <t>ORD1061</t>
  </si>
  <si>
    <t>2025-03-15</t>
  </si>
  <si>
    <t>ORD1062</t>
  </si>
  <si>
    <t>2025-05-24</t>
  </si>
  <si>
    <t>ORD1063</t>
  </si>
  <si>
    <t>2025-01-14</t>
  </si>
  <si>
    <t>ORD1064</t>
  </si>
  <si>
    <t>2025-01-09</t>
  </si>
  <si>
    <t>ORD1065</t>
  </si>
  <si>
    <t>2025-03-06</t>
  </si>
  <si>
    <t>ORD1066</t>
  </si>
  <si>
    <t>2025-10-14</t>
  </si>
  <si>
    <t>ORD1067</t>
  </si>
  <si>
    <t>2025-05-03</t>
  </si>
  <si>
    <t>ORD1068</t>
  </si>
  <si>
    <t>2025-11-01</t>
  </si>
  <si>
    <t>ORD1069</t>
  </si>
  <si>
    <t>2025-07-27</t>
  </si>
  <si>
    <t>Sakshi</t>
  </si>
  <si>
    <t>ORD1070</t>
  </si>
  <si>
    <t>2025-03-20</t>
  </si>
  <si>
    <t>ORD1071</t>
  </si>
  <si>
    <t>2025-05-31</t>
  </si>
  <si>
    <t>ORD1072</t>
  </si>
  <si>
    <t>2025-02-26</t>
  </si>
  <si>
    <t>ORD1073</t>
  </si>
  <si>
    <t>ORD1074</t>
  </si>
  <si>
    <t>2025-08-03</t>
  </si>
  <si>
    <t>ORD1075</t>
  </si>
  <si>
    <t>2025-02-07</t>
  </si>
  <si>
    <t>ORD1076</t>
  </si>
  <si>
    <t>2025-10-09</t>
  </si>
  <si>
    <t>ORD1077</t>
  </si>
  <si>
    <t>2025-11-06</t>
  </si>
  <si>
    <t>ORD1078</t>
  </si>
  <si>
    <t>2025-05-22</t>
  </si>
  <si>
    <t>ORD1079</t>
  </si>
  <si>
    <t>2025-05-14</t>
  </si>
  <si>
    <t>ORD1080</t>
  </si>
  <si>
    <t>2025-12-10</t>
  </si>
  <si>
    <t>ORD1081</t>
  </si>
  <si>
    <t>2025-08-11</t>
  </si>
  <si>
    <t>ORD1082</t>
  </si>
  <si>
    <t>2025-02-10</t>
  </si>
  <si>
    <t>ORD1083</t>
  </si>
  <si>
    <t>2025-07-30</t>
  </si>
  <si>
    <t>ORD1084</t>
  </si>
  <si>
    <t>2025-08-21</t>
  </si>
  <si>
    <t>ORD1085</t>
  </si>
  <si>
    <t>2025-04-30</t>
  </si>
  <si>
    <t>ORD1086</t>
  </si>
  <si>
    <t>ORD1087</t>
  </si>
  <si>
    <t>2025-02-23</t>
  </si>
  <si>
    <t>ORD1088</t>
  </si>
  <si>
    <t>2025-07-17</t>
  </si>
  <si>
    <t>ORD1089</t>
  </si>
  <si>
    <t>ORD1090</t>
  </si>
  <si>
    <t>2025-07-10</t>
  </si>
  <si>
    <t>ORD1091</t>
  </si>
  <si>
    <t>ORD1092</t>
  </si>
  <si>
    <t>ORD1093</t>
  </si>
  <si>
    <t>2025-07-18</t>
  </si>
  <si>
    <t>ORD1094</t>
  </si>
  <si>
    <t>2025-02-15</t>
  </si>
  <si>
    <t>ORD1095</t>
  </si>
  <si>
    <t>ORD1096</t>
  </si>
  <si>
    <t>2025-11-20</t>
  </si>
  <si>
    <t>ORD1097</t>
  </si>
  <si>
    <t>ORD1098</t>
  </si>
  <si>
    <t>2025-05-10</t>
  </si>
  <si>
    <t>ORD1099</t>
  </si>
  <si>
    <t>2025-11-07</t>
  </si>
  <si>
    <t>ORD1100</t>
  </si>
  <si>
    <t>2025-10-30</t>
  </si>
  <si>
    <t>ORD1101</t>
  </si>
  <si>
    <t>Mohit</t>
  </si>
  <si>
    <t>ORD1102</t>
  </si>
  <si>
    <t>2025-06-15</t>
  </si>
  <si>
    <t>ORD1103</t>
  </si>
  <si>
    <t>2025-01-03</t>
  </si>
  <si>
    <t>ORD1104</t>
  </si>
  <si>
    <t>2025-09-21</t>
  </si>
  <si>
    <t>ORD1105</t>
  </si>
  <si>
    <t>2025-05-25</t>
  </si>
  <si>
    <t>ORD1106</t>
  </si>
  <si>
    <t>ORD1107</t>
  </si>
  <si>
    <t>2025-11-04</t>
  </si>
  <si>
    <t>ORD1108</t>
  </si>
  <si>
    <t>2025-02-18</t>
  </si>
  <si>
    <t>ORD1109</t>
  </si>
  <si>
    <t>2025-06-02</t>
  </si>
  <si>
    <t>ORD1110</t>
  </si>
  <si>
    <t>2025-06-20</t>
  </si>
  <si>
    <t>ORD1111</t>
  </si>
  <si>
    <t>ORD1112</t>
  </si>
  <si>
    <t>2025-03-03</t>
  </si>
  <si>
    <t>ORD1113</t>
  </si>
  <si>
    <t>2025-08-02</t>
  </si>
  <si>
    <t>ORD1114</t>
  </si>
  <si>
    <t>ORD1115</t>
  </si>
  <si>
    <t>2025-04-20</t>
  </si>
  <si>
    <t>ORD1116</t>
  </si>
  <si>
    <t>ORD1117</t>
  </si>
  <si>
    <t>2025-03-16</t>
  </si>
  <si>
    <t>ORD1118</t>
  </si>
  <si>
    <t>2025-06-05</t>
  </si>
  <si>
    <t>ORD1119</t>
  </si>
  <si>
    <t>2025-07-06</t>
  </si>
  <si>
    <t>ORD1120</t>
  </si>
  <si>
    <t>2025-07-13</t>
  </si>
  <si>
    <t>ORD1121</t>
  </si>
  <si>
    <t>ORD1122</t>
  </si>
  <si>
    <t>2025-12-05</t>
  </si>
  <si>
    <t>ORD1123</t>
  </si>
  <si>
    <t>ORD1124</t>
  </si>
  <si>
    <t>2025-10-26</t>
  </si>
  <si>
    <t>ORD1125</t>
  </si>
  <si>
    <t>2025-10-29</t>
  </si>
  <si>
    <t>ORD1126</t>
  </si>
  <si>
    <t>2025-06-29</t>
  </si>
  <si>
    <t>ORD1127</t>
  </si>
  <si>
    <t>ORD1128</t>
  </si>
  <si>
    <t>2025-01-08</t>
  </si>
  <si>
    <t>ORD1129</t>
  </si>
  <si>
    <t>2025-11-14</t>
  </si>
  <si>
    <t>ORD1130</t>
  </si>
  <si>
    <t>ORD1131</t>
  </si>
  <si>
    <t>2025-12-26</t>
  </si>
  <si>
    <t>ORD1132</t>
  </si>
  <si>
    <t>2025-01-01</t>
  </si>
  <si>
    <t>ORD1133</t>
  </si>
  <si>
    <t>2025-01-18</t>
  </si>
  <si>
    <t>ORD1134</t>
  </si>
  <si>
    <t>2025-01-05</t>
  </si>
  <si>
    <t>ORD1135</t>
  </si>
  <si>
    <t>2025-06-08</t>
  </si>
  <si>
    <t>ORD1136</t>
  </si>
  <si>
    <t>2025-09-30</t>
  </si>
  <si>
    <t>ORD1137</t>
  </si>
  <si>
    <t>2025-10-10</t>
  </si>
  <si>
    <t>ORD1138</t>
  </si>
  <si>
    <t>2025-06-26</t>
  </si>
  <si>
    <t>ORD1139</t>
  </si>
  <si>
    <t>2025-12-31</t>
  </si>
  <si>
    <t>ORD1140</t>
  </si>
  <si>
    <t>ORD1141</t>
  </si>
  <si>
    <t>2025-08-05</t>
  </si>
  <si>
    <t>Vikas</t>
  </si>
  <si>
    <t>ORD1142</t>
  </si>
  <si>
    <t>2025-11-10</t>
  </si>
  <si>
    <t>ORD1143</t>
  </si>
  <si>
    <t>2025-02-22</t>
  </si>
  <si>
    <t>ORD1144</t>
  </si>
  <si>
    <t>2025-08-19</t>
  </si>
  <si>
    <t>ORD1145</t>
  </si>
  <si>
    <t>2025-03-31</t>
  </si>
  <si>
    <t>ORD1146</t>
  </si>
  <si>
    <t>2025-01-15</t>
  </si>
  <si>
    <t>ORD1147</t>
  </si>
  <si>
    <t>2025-10-22</t>
  </si>
  <si>
    <t>ORD1148</t>
  </si>
  <si>
    <t>2025-01-28</t>
  </si>
  <si>
    <t>ORD1149</t>
  </si>
  <si>
    <t>2025-05-15</t>
  </si>
  <si>
    <t>ORD1150</t>
  </si>
  <si>
    <t>2025-03-24</t>
  </si>
  <si>
    <t>ORD1151</t>
  </si>
  <si>
    <t>2025-12-21</t>
  </si>
  <si>
    <t>ORD1152</t>
  </si>
  <si>
    <t>2025-09-22</t>
  </si>
  <si>
    <t>ORD1153</t>
  </si>
  <si>
    <t>2025-03-10</t>
  </si>
  <si>
    <t>ORD1154</t>
  </si>
  <si>
    <t>ORD1155</t>
  </si>
  <si>
    <t>2025-11-13</t>
  </si>
  <si>
    <t>ORD1156</t>
  </si>
  <si>
    <t>ORD1157</t>
  </si>
  <si>
    <t>ORD1158</t>
  </si>
  <si>
    <t>2025-09-29</t>
  </si>
  <si>
    <t>ORD1159</t>
  </si>
  <si>
    <t>ORD1160</t>
  </si>
  <si>
    <t>ORD1161</t>
  </si>
  <si>
    <t>ORD1162</t>
  </si>
  <si>
    <t>2025-06-06</t>
  </si>
  <si>
    <t>ORD1163</t>
  </si>
  <si>
    <t>ORD1164</t>
  </si>
  <si>
    <t>ORD1165</t>
  </si>
  <si>
    <t>ORD1166</t>
  </si>
  <si>
    <t>2025-02-03</t>
  </si>
  <si>
    <t>ORD1167</t>
  </si>
  <si>
    <t>2025-12-24</t>
  </si>
  <si>
    <t>ORD1168</t>
  </si>
  <si>
    <t>2025-03-25</t>
  </si>
  <si>
    <t>ORD1169</t>
  </si>
  <si>
    <t>2025-11-18</t>
  </si>
  <si>
    <t>ORD1170</t>
  </si>
  <si>
    <t>2025-02-28</t>
  </si>
  <si>
    <t>ORD1171</t>
  </si>
  <si>
    <t>ORD1172</t>
  </si>
  <si>
    <t>ORD1173</t>
  </si>
  <si>
    <t>ORD1174</t>
  </si>
  <si>
    <t>ORD1175</t>
  </si>
  <si>
    <t>2025-02-05</t>
  </si>
  <si>
    <t>ORD1176</t>
  </si>
  <si>
    <t>2025-08-07</t>
  </si>
  <si>
    <t>ORD1177</t>
  </si>
  <si>
    <t>ORD1178</t>
  </si>
  <si>
    <t>2025-02-25</t>
  </si>
  <si>
    <t>ORD1179</t>
  </si>
  <si>
    <t>ORD1180</t>
  </si>
  <si>
    <t>2025-09-13</t>
  </si>
  <si>
    <t>ORD1181</t>
  </si>
  <si>
    <t>2025-10-18</t>
  </si>
  <si>
    <t>ORD1182</t>
  </si>
  <si>
    <t>2025-12-06</t>
  </si>
  <si>
    <t>ORD1183</t>
  </si>
  <si>
    <t>ORD1184</t>
  </si>
  <si>
    <t>2025-09-20</t>
  </si>
  <si>
    <t>ORD1185</t>
  </si>
  <si>
    <t>ORD1186</t>
  </si>
  <si>
    <t>2025-05-02</t>
  </si>
  <si>
    <t>ORD1187</t>
  </si>
  <si>
    <t>2025-02-16</t>
  </si>
  <si>
    <t>ORD1188</t>
  </si>
  <si>
    <t>2025-09-19</t>
  </si>
  <si>
    <t>ORD1189</t>
  </si>
  <si>
    <t>ORD1190</t>
  </si>
  <si>
    <t>2025-04-10</t>
  </si>
  <si>
    <t>ORD1191</t>
  </si>
  <si>
    <t>2025-01-11</t>
  </si>
  <si>
    <t>ORD1192</t>
  </si>
  <si>
    <t>ORD1193</t>
  </si>
  <si>
    <t>2025-02-20</t>
  </si>
  <si>
    <t>ORD1194</t>
  </si>
  <si>
    <t>ORD1195</t>
  </si>
  <si>
    <t>2025-08-01</t>
  </si>
  <si>
    <t>ORD1196</t>
  </si>
  <si>
    <t>2025-07-22</t>
  </si>
  <si>
    <t>ORD1197</t>
  </si>
  <si>
    <t>2025-12-20</t>
  </si>
  <si>
    <t>ORD1198</t>
  </si>
  <si>
    <t>2025-10-05</t>
  </si>
  <si>
    <t>ORD1199</t>
  </si>
  <si>
    <t>ORD1200</t>
  </si>
  <si>
    <t>ORD1201</t>
  </si>
  <si>
    <t>ORD1202</t>
  </si>
  <si>
    <t>2025-09-17</t>
  </si>
  <si>
    <t>ORD1203</t>
  </si>
  <si>
    <t>2025-05-09</t>
  </si>
  <si>
    <t>ORD1204</t>
  </si>
  <si>
    <t>2025-11-03</t>
  </si>
  <si>
    <t>ORD1205</t>
  </si>
  <si>
    <t>ORD1206</t>
  </si>
  <si>
    <t>ORD1207</t>
  </si>
  <si>
    <t>ORD1208</t>
  </si>
  <si>
    <t>ORD1209</t>
  </si>
  <si>
    <t>ORD1210</t>
  </si>
  <si>
    <t>2025-03-30</t>
  </si>
  <si>
    <t>ORD1211</t>
  </si>
  <si>
    <t>ORD1212</t>
  </si>
  <si>
    <t>2025-07-28</t>
  </si>
  <si>
    <t>ORD1213</t>
  </si>
  <si>
    <t>2025-05-29</t>
  </si>
  <si>
    <t>ORD1214</t>
  </si>
  <si>
    <t>ORD1215</t>
  </si>
  <si>
    <t>2025-02-01</t>
  </si>
  <si>
    <t>ORD1216</t>
  </si>
  <si>
    <t>2025-12-16</t>
  </si>
  <si>
    <t>ORD1217</t>
  </si>
  <si>
    <t>ORD1218</t>
  </si>
  <si>
    <t>2025-01-06</t>
  </si>
  <si>
    <t>ORD1219</t>
  </si>
  <si>
    <t>2025-05-06</t>
  </si>
  <si>
    <t>ORD1220</t>
  </si>
  <si>
    <t>ORD1221</t>
  </si>
  <si>
    <t>2025-08-27</t>
  </si>
  <si>
    <t>ORD1222</t>
  </si>
  <si>
    <t>ORD1223</t>
  </si>
  <si>
    <t>2025-07-11</t>
  </si>
  <si>
    <t>ORD1224</t>
  </si>
  <si>
    <t>ORD1225</t>
  </si>
  <si>
    <t>ORD1226</t>
  </si>
  <si>
    <t>2025-04-29</t>
  </si>
  <si>
    <t>ORD1227</t>
  </si>
  <si>
    <t>2025-09-02</t>
  </si>
  <si>
    <t>ORD1228</t>
  </si>
  <si>
    <t>ORD1229</t>
  </si>
  <si>
    <t>ORD1230</t>
  </si>
  <si>
    <t>2025-09-16</t>
  </si>
  <si>
    <t>ORD1231</t>
  </si>
  <si>
    <t>2025-09-11</t>
  </si>
  <si>
    <t>ORD1232</t>
  </si>
  <si>
    <t>2025-09-01</t>
  </si>
  <si>
    <t>ORD1233</t>
  </si>
  <si>
    <t>2025-08-26</t>
  </si>
  <si>
    <t>ORD1234</t>
  </si>
  <si>
    <t>ORD1235</t>
  </si>
  <si>
    <t>2025-07-12</t>
  </si>
  <si>
    <t>ORD1236</t>
  </si>
  <si>
    <t>2025-11-19</t>
  </si>
  <si>
    <t>ORD1237</t>
  </si>
  <si>
    <t>2025-05-16</t>
  </si>
  <si>
    <t>ORD1238</t>
  </si>
  <si>
    <t>ORD1239</t>
  </si>
  <si>
    <t>ORD1240</t>
  </si>
  <si>
    <t>ORD1241</t>
  </si>
  <si>
    <t>2025-04-16</t>
  </si>
  <si>
    <t>ORD1242</t>
  </si>
  <si>
    <t>ORD1243</t>
  </si>
  <si>
    <t>ORD1244</t>
  </si>
  <si>
    <t>ORD1245</t>
  </si>
  <si>
    <t>2025-11-30</t>
  </si>
  <si>
    <t>ORD1246</t>
  </si>
  <si>
    <t>ORD1247</t>
  </si>
  <si>
    <t>ORD1248</t>
  </si>
  <si>
    <t>ORD1249</t>
  </si>
  <si>
    <t>ORD1250</t>
  </si>
  <si>
    <t>2025-04-07</t>
  </si>
  <si>
    <t>ORD1251</t>
  </si>
  <si>
    <t>ORD1252</t>
  </si>
  <si>
    <t>2025-12-15</t>
  </si>
  <si>
    <t>ORD1253</t>
  </si>
  <si>
    <t>2025-06-17</t>
  </si>
  <si>
    <t>ORD1254</t>
  </si>
  <si>
    <t>ORD1255</t>
  </si>
  <si>
    <t>2025-06-28</t>
  </si>
  <si>
    <t>ORD1256</t>
  </si>
  <si>
    <t>2025-10-15</t>
  </si>
  <si>
    <t>ORD1257</t>
  </si>
  <si>
    <t>2025-03-26</t>
  </si>
  <si>
    <t>ORD1258</t>
  </si>
  <si>
    <t>2025-04-03</t>
  </si>
  <si>
    <t>ORD1259</t>
  </si>
  <si>
    <t>ORD1260</t>
  </si>
  <si>
    <t>ORD1261</t>
  </si>
  <si>
    <t>2025-10-03</t>
  </si>
  <si>
    <t>ORD1262</t>
  </si>
  <si>
    <t>ORD1263</t>
  </si>
  <si>
    <t>ORD1264</t>
  </si>
  <si>
    <t>ORD1265</t>
  </si>
  <si>
    <t>ORD1266</t>
  </si>
  <si>
    <t>ORD1267</t>
  </si>
  <si>
    <t>2025-02-17</t>
  </si>
  <si>
    <t>ORD1268</t>
  </si>
  <si>
    <t>2025-10-27</t>
  </si>
  <si>
    <t>ORD1269</t>
  </si>
  <si>
    <t>ORD1270</t>
  </si>
  <si>
    <t>ORD1271</t>
  </si>
  <si>
    <t>ORD1272</t>
  </si>
  <si>
    <t>ORD1273</t>
  </si>
  <si>
    <t>2025-12-03</t>
  </si>
  <si>
    <t>ORD1274</t>
  </si>
  <si>
    <t>2025-07-09</t>
  </si>
  <si>
    <t>ORD1275</t>
  </si>
  <si>
    <t>2025-09-27</t>
  </si>
  <si>
    <t>ORD1276</t>
  </si>
  <si>
    <t>2025-06-25</t>
  </si>
  <si>
    <t>ORD1277</t>
  </si>
  <si>
    <t>2025-07-01</t>
  </si>
  <si>
    <t>ORD1278</t>
  </si>
  <si>
    <t>ORD1279</t>
  </si>
  <si>
    <t>2025-08-20</t>
  </si>
  <si>
    <t>ORD1280</t>
  </si>
  <si>
    <t>2025-10-16</t>
  </si>
  <si>
    <t>ORD1281</t>
  </si>
  <si>
    <t>ORD1282</t>
  </si>
  <si>
    <t>2025-04-01</t>
  </si>
  <si>
    <t>ORD1283</t>
  </si>
  <si>
    <t>2025-02-13</t>
  </si>
  <si>
    <t>ORD1284</t>
  </si>
  <si>
    <t>ORD1285</t>
  </si>
  <si>
    <t>2025-07-21</t>
  </si>
  <si>
    <t>ORD1286</t>
  </si>
  <si>
    <t>2025-01-02</t>
  </si>
  <si>
    <t>ORD1287</t>
  </si>
  <si>
    <t>ORD1288</t>
  </si>
  <si>
    <t>2025-10-01</t>
  </si>
  <si>
    <t>ORD1289</t>
  </si>
  <si>
    <t>2025-08-06</t>
  </si>
  <si>
    <t>ORD1290</t>
  </si>
  <si>
    <t>2025-12-12</t>
  </si>
  <si>
    <t>ORD1291</t>
  </si>
  <si>
    <t>ORD1292</t>
  </si>
  <si>
    <t>ORD1293</t>
  </si>
  <si>
    <t>ORD1294</t>
  </si>
  <si>
    <t>ORD1295</t>
  </si>
  <si>
    <t>ORD1296</t>
  </si>
  <si>
    <t>2025-11-17</t>
  </si>
  <si>
    <t>ORD1297</t>
  </si>
  <si>
    <t>ORD1298</t>
  </si>
  <si>
    <t>ORD1299</t>
  </si>
  <si>
    <t>2025-03-28</t>
  </si>
  <si>
    <t>ORD1300</t>
  </si>
  <si>
    <t>ORD1301</t>
  </si>
  <si>
    <t>ORD1302</t>
  </si>
  <si>
    <t>ORD1303</t>
  </si>
  <si>
    <t>2025-05-27</t>
  </si>
  <si>
    <t>ORD1304</t>
  </si>
  <si>
    <t>2025-03-29</t>
  </si>
  <si>
    <t>ORD1305</t>
  </si>
  <si>
    <t>ORD1306</t>
  </si>
  <si>
    <t>2025-04-13</t>
  </si>
  <si>
    <t>ORD1307</t>
  </si>
  <si>
    <t>ORD1308</t>
  </si>
  <si>
    <t>ORD1309</t>
  </si>
  <si>
    <t>ORD1310</t>
  </si>
  <si>
    <t>2025-08-13</t>
  </si>
  <si>
    <t>ORD1311</t>
  </si>
  <si>
    <t>2025-05-17</t>
  </si>
  <si>
    <t>ORD1312</t>
  </si>
  <si>
    <t>2025-09-12</t>
  </si>
  <si>
    <t>ORD1313</t>
  </si>
  <si>
    <t>ORD1314</t>
  </si>
  <si>
    <t>2025-01-16</t>
  </si>
  <si>
    <t>ORD1315</t>
  </si>
  <si>
    <t>ORD1316</t>
  </si>
  <si>
    <t>2025-03-21</t>
  </si>
  <si>
    <t>ORD1317</t>
  </si>
  <si>
    <t>ORD1318</t>
  </si>
  <si>
    <t>ORD1319</t>
  </si>
  <si>
    <t>ORD1320</t>
  </si>
  <si>
    <t>ORD1321</t>
  </si>
  <si>
    <t>2025-06-09</t>
  </si>
  <si>
    <t>ORD1322</t>
  </si>
  <si>
    <t>ORD1323</t>
  </si>
  <si>
    <t>2025-09-23</t>
  </si>
  <si>
    <t>ORD1324</t>
  </si>
  <si>
    <t>ORD1325</t>
  </si>
  <si>
    <t>2025-11-26</t>
  </si>
  <si>
    <t>ORD1326</t>
  </si>
  <si>
    <t>ORD1327</t>
  </si>
  <si>
    <t>ORD1328</t>
  </si>
  <si>
    <t>ORD1329</t>
  </si>
  <si>
    <t>2025-04-25</t>
  </si>
  <si>
    <t>ORD1330</t>
  </si>
  <si>
    <t>2025-06-23</t>
  </si>
  <si>
    <t>ORD1331</t>
  </si>
  <si>
    <t>ORD1332</t>
  </si>
  <si>
    <t>ORD1333</t>
  </si>
  <si>
    <t>ORD1334</t>
  </si>
  <si>
    <t>ORD1335</t>
  </si>
  <si>
    <t>2025-01-07</t>
  </si>
  <si>
    <t>ORD1336</t>
  </si>
  <si>
    <t>2025-05-30</t>
  </si>
  <si>
    <t>ORD1337</t>
  </si>
  <si>
    <t>ORD1338</t>
  </si>
  <si>
    <t>ORD1339</t>
  </si>
  <si>
    <t>ORD1340</t>
  </si>
  <si>
    <t>ORD1341</t>
  </si>
  <si>
    <t>2025-02-04</t>
  </si>
  <si>
    <t>ORD1342</t>
  </si>
  <si>
    <t>ORD1343</t>
  </si>
  <si>
    <t>ORD1344</t>
  </si>
  <si>
    <t>ORD1345</t>
  </si>
  <si>
    <t>ORD1346</t>
  </si>
  <si>
    <t>ORD1347</t>
  </si>
  <si>
    <t>2025-12-30</t>
  </si>
  <si>
    <t>ORD1348</t>
  </si>
  <si>
    <t>ORD1349</t>
  </si>
  <si>
    <t>2025-01-23</t>
  </si>
  <si>
    <t>ORD1350</t>
  </si>
  <si>
    <t>ORD1351</t>
  </si>
  <si>
    <t>2025-08-23</t>
  </si>
  <si>
    <t>ORD1352</t>
  </si>
  <si>
    <t>ORD1353</t>
  </si>
  <si>
    <t>2025-07-31</t>
  </si>
  <si>
    <t>ORD1354</t>
  </si>
  <si>
    <t>ORD1355</t>
  </si>
  <si>
    <t>ORD1356</t>
  </si>
  <si>
    <t>2025-12-09</t>
  </si>
  <si>
    <t>ORD1357</t>
  </si>
  <si>
    <t>2025-03-17</t>
  </si>
  <si>
    <t>ORD1358</t>
  </si>
  <si>
    <t>ORD1359</t>
  </si>
  <si>
    <t>2025-06-13</t>
  </si>
  <si>
    <t>ORD1360</t>
  </si>
  <si>
    <t>ORD1361</t>
  </si>
  <si>
    <t>2025-10-20</t>
  </si>
  <si>
    <t>ORD1362</t>
  </si>
  <si>
    <t>2025-05-20</t>
  </si>
  <si>
    <t>ORD1363</t>
  </si>
  <si>
    <t>ORD1364</t>
  </si>
  <si>
    <t>2025-02-02</t>
  </si>
  <si>
    <t>ORD1365</t>
  </si>
  <si>
    <t>2025-06-22</t>
  </si>
  <si>
    <t>ORD1366</t>
  </si>
  <si>
    <t>ORD1367</t>
  </si>
  <si>
    <t>ORD1368</t>
  </si>
  <si>
    <t>2025-03-01</t>
  </si>
  <si>
    <t>ORD1369</t>
  </si>
  <si>
    <t>2025-09-04</t>
  </si>
  <si>
    <t>ORD1370</t>
  </si>
  <si>
    <t>2025-10-13</t>
  </si>
  <si>
    <t>ORD1371</t>
  </si>
  <si>
    <t>2025-05-07</t>
  </si>
  <si>
    <t>ORD1372</t>
  </si>
  <si>
    <t>ORD1373</t>
  </si>
  <si>
    <t>ORD1374</t>
  </si>
  <si>
    <t>ORD1375</t>
  </si>
  <si>
    <t>ORD1376</t>
  </si>
  <si>
    <t>ORD1377</t>
  </si>
  <si>
    <t>ORD1378</t>
  </si>
  <si>
    <t>ORD1379</t>
  </si>
  <si>
    <t>ORD1380</t>
  </si>
  <si>
    <t>ORD1381</t>
  </si>
  <si>
    <t>ORD1382</t>
  </si>
  <si>
    <t>ORD1383</t>
  </si>
  <si>
    <t>ORD1384</t>
  </si>
  <si>
    <t>2025-12-13</t>
  </si>
  <si>
    <t>ORD1385</t>
  </si>
  <si>
    <t>ORD1386</t>
  </si>
  <si>
    <t>ORD1387</t>
  </si>
  <si>
    <t>ORD1388</t>
  </si>
  <si>
    <t>ORD1389</t>
  </si>
  <si>
    <t>2025-01-31</t>
  </si>
  <si>
    <t>ORD1390</t>
  </si>
  <si>
    <t>ORD1391</t>
  </si>
  <si>
    <t>ORD1392</t>
  </si>
  <si>
    <t>ORD1393</t>
  </si>
  <si>
    <t>ORD1394</t>
  </si>
  <si>
    <t>2025-02-08</t>
  </si>
  <si>
    <t>ORD1395</t>
  </si>
  <si>
    <t>ORD1396</t>
  </si>
  <si>
    <t>ORD1397</t>
  </si>
  <si>
    <t>ORD1398</t>
  </si>
  <si>
    <t>2025-02-06</t>
  </si>
  <si>
    <t>ORD1399</t>
  </si>
  <si>
    <t>ORD1400</t>
  </si>
  <si>
    <t>2025-08-30</t>
  </si>
  <si>
    <t>ORD1401</t>
  </si>
  <si>
    <t>2025-04-19</t>
  </si>
  <si>
    <t>ORD1402</t>
  </si>
  <si>
    <t>2025-01-10</t>
  </si>
  <si>
    <t>ORD1403</t>
  </si>
  <si>
    <t>ORD1404</t>
  </si>
  <si>
    <t>ORD1405</t>
  </si>
  <si>
    <t>ORD1406</t>
  </si>
  <si>
    <t>2025-12-22</t>
  </si>
  <si>
    <t>ORD1407</t>
  </si>
  <si>
    <t>2025-11-15</t>
  </si>
  <si>
    <t>ORD1408</t>
  </si>
  <si>
    <t>2025-01-17</t>
  </si>
  <si>
    <t>ORD1409</t>
  </si>
  <si>
    <t>ORD1410</t>
  </si>
  <si>
    <t>2025-10-06</t>
  </si>
  <si>
    <t>ORD1411</t>
  </si>
  <si>
    <t>2025-06-01</t>
  </si>
  <si>
    <t>ORD1412</t>
  </si>
  <si>
    <t>ORD1413</t>
  </si>
  <si>
    <t>ORD1414</t>
  </si>
  <si>
    <t>ORD1415</t>
  </si>
  <si>
    <t>ORD1416</t>
  </si>
  <si>
    <t>2025-11-23</t>
  </si>
  <si>
    <t>ORD1417</t>
  </si>
  <si>
    <t>ORD1418</t>
  </si>
  <si>
    <t>ORD1419</t>
  </si>
  <si>
    <t>ORD1420</t>
  </si>
  <si>
    <t>2025-05-21</t>
  </si>
  <si>
    <t>ORD1421</t>
  </si>
  <si>
    <t>ORD1422</t>
  </si>
  <si>
    <t>ORD1423</t>
  </si>
  <si>
    <t>2025-02-14</t>
  </si>
  <si>
    <t>ORD1424</t>
  </si>
  <si>
    <t>2025-05-12</t>
  </si>
  <si>
    <t>ORD1425</t>
  </si>
  <si>
    <t>ORD1426</t>
  </si>
  <si>
    <t>2025-06-21</t>
  </si>
  <si>
    <t>ORD1427</t>
  </si>
  <si>
    <t>ORD1428</t>
  </si>
  <si>
    <t>ORD1429</t>
  </si>
  <si>
    <t>ORD1430</t>
  </si>
  <si>
    <t>ORD1431</t>
  </si>
  <si>
    <t>2025-01-24</t>
  </si>
  <si>
    <t>ORD1432</t>
  </si>
  <si>
    <t>ORD1433</t>
  </si>
  <si>
    <t>ORD1434</t>
  </si>
  <si>
    <t>ORD1435</t>
  </si>
  <si>
    <t>ORD1436</t>
  </si>
  <si>
    <t>ORD1437</t>
  </si>
  <si>
    <t>ORD1438</t>
  </si>
  <si>
    <t>ORD1439</t>
  </si>
  <si>
    <t>ORD1440</t>
  </si>
  <si>
    <t>ORD1441</t>
  </si>
  <si>
    <t>ORD1442</t>
  </si>
  <si>
    <t>ORD1443</t>
  </si>
  <si>
    <t>2025-01-04</t>
  </si>
  <si>
    <t>ORD1444</t>
  </si>
  <si>
    <t>ORD1445</t>
  </si>
  <si>
    <t>2025-10-12</t>
  </si>
  <si>
    <t>ORD1446</t>
  </si>
  <si>
    <t>2025-07-16</t>
  </si>
  <si>
    <t>ORD1447</t>
  </si>
  <si>
    <t>2025-09-09</t>
  </si>
  <si>
    <t>ORD1448</t>
  </si>
  <si>
    <t>2025-11-24</t>
  </si>
  <si>
    <t>ORD1449</t>
  </si>
  <si>
    <t>ORD1450</t>
  </si>
  <si>
    <t>2025-08-15</t>
  </si>
  <si>
    <t>ORD1451</t>
  </si>
  <si>
    <t>ORD1452</t>
  </si>
  <si>
    <t>ORD1453</t>
  </si>
  <si>
    <t>2025-09-06</t>
  </si>
  <si>
    <t>ORD1454</t>
  </si>
  <si>
    <t>ORD1455</t>
  </si>
  <si>
    <t>2025-09-07</t>
  </si>
  <si>
    <t>ORD1456</t>
  </si>
  <si>
    <t>ORD1457</t>
  </si>
  <si>
    <t>2025-07-02</t>
  </si>
  <si>
    <t>ORD1458</t>
  </si>
  <si>
    <t>ORD1459</t>
  </si>
  <si>
    <t>ORD1460</t>
  </si>
  <si>
    <t>ORD1461</t>
  </si>
  <si>
    <t>2025-04-15</t>
  </si>
  <si>
    <t>ORD1462</t>
  </si>
  <si>
    <t>2025-06-07</t>
  </si>
  <si>
    <t>ORD1463</t>
  </si>
  <si>
    <t>ORD1464</t>
  </si>
  <si>
    <t>ORD1465</t>
  </si>
  <si>
    <t>ORD1466</t>
  </si>
  <si>
    <t>2025-04-12</t>
  </si>
  <si>
    <t>ORD1467</t>
  </si>
  <si>
    <t>ORD1468</t>
  </si>
  <si>
    <t>2025-03-11</t>
  </si>
  <si>
    <t>ORD1469</t>
  </si>
  <si>
    <t>ORD1470</t>
  </si>
  <si>
    <t>ORD1471</t>
  </si>
  <si>
    <t>2025-12-28</t>
  </si>
  <si>
    <t>ORD1472</t>
  </si>
  <si>
    <t>ORD1473</t>
  </si>
  <si>
    <t>2025-04-24</t>
  </si>
  <si>
    <t>ORD1474</t>
  </si>
  <si>
    <t>ORD1475</t>
  </si>
  <si>
    <t>ORD1476</t>
  </si>
  <si>
    <t>2025-07-07</t>
  </si>
  <si>
    <t>ORD1477</t>
  </si>
  <si>
    <t>ORD1478</t>
  </si>
  <si>
    <t>ORD1479</t>
  </si>
  <si>
    <t>ORD1480</t>
  </si>
  <si>
    <t>ORD1481</t>
  </si>
  <si>
    <t>ORD1482</t>
  </si>
  <si>
    <t>2025-03-02</t>
  </si>
  <si>
    <t>ORD1483</t>
  </si>
  <si>
    <t>2025-12-18</t>
  </si>
  <si>
    <t>ORD1484</t>
  </si>
  <si>
    <t>2025-10-24</t>
  </si>
  <si>
    <t>ORD1485</t>
  </si>
  <si>
    <t>ORD1486</t>
  </si>
  <si>
    <t>ORD1487</t>
  </si>
  <si>
    <t>2025-02-12</t>
  </si>
  <si>
    <t>ORD1488</t>
  </si>
  <si>
    <t>ORD1489</t>
  </si>
  <si>
    <t>ORD1490</t>
  </si>
  <si>
    <t>2025-06-16</t>
  </si>
  <si>
    <t>ORD1491</t>
  </si>
  <si>
    <t>2025-09-14</t>
  </si>
  <si>
    <t>ORD1492</t>
  </si>
  <si>
    <t>ORD1493</t>
  </si>
  <si>
    <t>ORD1494</t>
  </si>
  <si>
    <t>ORD1495</t>
  </si>
  <si>
    <t>ORD1496</t>
  </si>
  <si>
    <t>2025-08-12</t>
  </si>
  <si>
    <t>ORD1497</t>
  </si>
  <si>
    <t>2025-03-19</t>
  </si>
  <si>
    <t>ORD1498</t>
  </si>
  <si>
    <t>2025-10-23</t>
  </si>
  <si>
    <t>ORD1499</t>
  </si>
  <si>
    <t>Months</t>
  </si>
  <si>
    <t>Years</t>
  </si>
  <si>
    <t>Total Sales</t>
  </si>
  <si>
    <t>Total Profit</t>
  </si>
  <si>
    <t>Total Order</t>
  </si>
  <si>
    <t>Sum of Sales</t>
  </si>
  <si>
    <t>Row Labels</t>
  </si>
  <si>
    <t>01</t>
  </si>
  <si>
    <t>02</t>
  </si>
  <si>
    <t>03</t>
  </si>
  <si>
    <t>04</t>
  </si>
  <si>
    <t>05</t>
  </si>
  <si>
    <t>06</t>
  </si>
  <si>
    <t>07</t>
  </si>
  <si>
    <t>08</t>
  </si>
  <si>
    <t>09</t>
  </si>
  <si>
    <t>10</t>
  </si>
  <si>
    <t>11</t>
  </si>
  <si>
    <t>12</t>
  </si>
  <si>
    <t>Grand Total</t>
  </si>
  <si>
    <t>Average Order Value</t>
  </si>
  <si>
    <t>Profit Margin %</t>
  </si>
  <si>
    <t>Sum of Profit</t>
  </si>
  <si>
    <t>Formula1</t>
  </si>
  <si>
    <t>Formula2</t>
  </si>
  <si>
    <t>SALES PERFORMANCE DASHBOARD</t>
  </si>
  <si>
    <t>Total Quantity Sold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</si>
</sst>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 #,##0.00"/>
    <numFmt numFmtId="165" formatCode="[$-F800]dddd\,\ mmmm\ dd\,\ yyyy"/>
  </numFmts>
  <fonts count="5" x14ac:knownFonts="1">
    <font>
      <sz val="11"/>
      <color theme="1"/>
      <name val="Calibri"/>
      <family val="2"/>
      <scheme val="minor"/>
    </font>
    <font>
      <sz val="16"/>
      <color theme="1"/>
      <name val="Calibri"/>
      <family val="2"/>
      <scheme val="minor"/>
    </font>
    <font>
      <b/>
      <sz val="24"/>
      <color theme="1"/>
      <name val="Calibri"/>
      <family val="2"/>
      <scheme val="minor"/>
    </font>
    <font>
      <b/>
      <sz val="16"/>
      <color theme="1"/>
      <name val="Calibri"/>
      <family val="2"/>
      <scheme val="minor"/>
    </font>
    <font>
      <b/>
      <sz val="16"/>
      <color theme="1"/>
      <name val="Arial Black"/>
      <family val="2"/>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2" fillId="0" borderId="0" xfId="0" applyFont="1" applyAlignment="1">
      <alignment horizontal="center"/>
    </xf>
    <xf numFmtId="0"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Alignment="1">
      <alignment horizontal="center"/>
    </xf>
    <xf numFmtId="0" fontId="0" fillId="0" borderId="0" xfId="0" applyAlignment="1">
      <alignment horizontal="center" wrapText="1"/>
    </xf>
    <xf numFmtId="0" fontId="3" fillId="0" borderId="0" xfId="0" applyFont="1" applyAlignment="1">
      <alignment horizontal="center"/>
    </xf>
    <xf numFmtId="164" fontId="1" fillId="0" borderId="0" xfId="0" applyNumberFormat="1" applyFont="1" applyAlignment="1">
      <alignment horizontal="center"/>
    </xf>
    <xf numFmtId="0" fontId="1" fillId="0" borderId="0" xfId="0" applyFont="1" applyAlignment="1">
      <alignment horizontal="center"/>
    </xf>
    <xf numFmtId="10" fontId="1" fillId="0" borderId="0" xfId="0" applyNumberFormat="1" applyFont="1" applyAlignment="1">
      <alignment horizontal="center"/>
    </xf>
    <xf numFmtId="0" fontId="0" fillId="0" borderId="0" xfId="0" applyAlignment="1"/>
    <xf numFmtId="0" fontId="4" fillId="0" borderId="0" xfId="0" applyFont="1" applyAlignment="1"/>
  </cellXfs>
  <cellStyles count="1">
    <cellStyle name="Normal" xfId="0" builtinId="0"/>
  </cellStyles>
  <dxfs count="2">
    <dxf>
      <numFmt numFmtId="0" formatCode="General"/>
    </dxf>
    <dxf>
      <numFmt numFmtId="165" formatCode="[$-F800]dddd\,\ mmmm\ dd\,\ yyyy"/>
    </dxf>
  </dxfs>
  <tableStyles count="0" defaultTableStyle="TableStyleMedium9" defaultPivotStyle="PivotStyleLight16"/>
  <colors>
    <mruColors>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[Excel_Sales_Dashboard_Dataset (Recovered).xlsx]PivotTables!PivotTable1</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Sales</a:t>
            </a:r>
          </a:p>
        </c:rich>
      </c:tx>
      <c:layout>
        <c:manualLayout>
          <c:xMode val="edge"/>
          <c:yMode val="edge"/>
          <c:x val="0.43031959800838693"/>
          <c:y val="1.584833517606626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PivotTables!$B$3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PivotTables!$A$4:$A$16</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PivotTables!$B$4:$B$16</c:f>
              <c:numCache>
                <c:formatCode>General</c:formatCode>
                <c:ptCount val="12"/>
                <c:pt idx="0">
                  <c:v>303310.2699999999</c:v>
                </c:pt>
                <c:pt idx="1">
                  <c:v>359837.42</c:v>
                </c:pt>
                <c:pt idx="2">
                  <c:v>297988.90000000002</c:v>
                </c:pt>
                <c:pt idx="3">
                  <c:v>259414.38999999998</c:v>
                </c:pt>
                <c:pt idx="4">
                  <c:v>349924.61</c:v>
                </c:pt>
                <c:pt idx="5">
                  <c:v>313027.01</c:v>
                </c:pt>
                <c:pt idx="6">
                  <c:v>336133.04</c:v>
                </c:pt>
                <c:pt idx="7">
                  <c:v>309747.71999999991</c:v>
                </c:pt>
                <c:pt idx="8">
                  <c:v>272885.95</c:v>
                </c:pt>
                <c:pt idx="9">
                  <c:v>365846.22999999986</c:v>
                </c:pt>
                <c:pt idx="10">
                  <c:v>427418.71</c:v>
                </c:pt>
                <c:pt idx="11">
                  <c:v>326821.10000000003</c:v>
                </c:pt>
              </c:numCache>
            </c:numRef>
          </c:val>
        </c:ser>
        <c:dLbls>
          <c:showLegendKey val="0"/>
          <c:showVal val="0"/>
          <c:showCatName val="0"/>
          <c:showSerName val="0"/>
          <c:showPercent val="0"/>
          <c:showBubbleSize val="0"/>
        </c:dLbls>
        <c:gapWidth val="150"/>
        <c:axId val="374042216"/>
        <c:axId val="165958440"/>
      </c:barChart>
      <c:catAx>
        <c:axId val="3740422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58440"/>
        <c:crosses val="autoZero"/>
        <c:auto val="1"/>
        <c:lblAlgn val="ctr"/>
        <c:lblOffset val="100"/>
        <c:noMultiLvlLbl val="0"/>
      </c:catAx>
      <c:valAx>
        <c:axId val="165958440"/>
        <c:scaling>
          <c:orientation val="minMax"/>
        </c:scaling>
        <c:delete val="1"/>
        <c:axPos val="l"/>
        <c:numFmt formatCode="General" sourceLinked="1"/>
        <c:majorTickMark val="none"/>
        <c:minorTickMark val="none"/>
        <c:tickLblPos val="nextTo"/>
        <c:crossAx val="3740422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[Excel_Sales_Dashboard_Dataset (Recovered).xlsx]PivotTables!PivotTable2</c:name>
    <c:fmtId val="7"/>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600" b="1"/>
              <a:t>Monthly Profit</a:t>
            </a:r>
          </a:p>
        </c:rich>
      </c:tx>
      <c:layout>
        <c:manualLayout>
          <c:xMode val="edge"/>
          <c:yMode val="edge"/>
          <c:x val="0.38712155612450283"/>
          <c:y val="1.9464735111010295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pivotFmt>
      <c:pivotFmt>
        <c:idx val="1"/>
      </c:pivotFmt>
      <c:pivotFmt>
        <c:idx val="2"/>
        <c:spPr>
          <a:ln w="38100" cap="rnd">
            <a:solidFill>
              <a:schemeClr val="accent1"/>
            </a:solidFill>
            <a:round/>
          </a:ln>
          <a:effectLst/>
        </c:spPr>
        <c:marker>
          <c:symbol val="circle"/>
          <c:size val="8"/>
          <c:spPr>
            <a:solidFill>
              <a:schemeClr val="accent1"/>
            </a:solidFill>
            <a:ln>
              <a:noFill/>
            </a:ln>
            <a:effectLst/>
          </c:spPr>
        </c:marker>
      </c:pivotFmt>
      <c:pivotFmt>
        <c:idx val="3"/>
        <c:spPr>
          <a:ln w="38100" cap="rnd">
            <a:solidFill>
              <a:schemeClr val="accent1"/>
            </a:solidFill>
            <a:round/>
          </a:ln>
          <a:effectLst/>
        </c:spPr>
        <c:marker>
          <c:symbol val="circle"/>
          <c:size val="8"/>
          <c:spPr>
            <a:solidFill>
              <a:schemeClr val="accent1"/>
            </a:solidFill>
            <a:ln>
              <a:noFill/>
            </a:ln>
            <a:effectLst/>
          </c:spPr>
        </c:marker>
      </c:pivotFmt>
      <c:pivotFmt>
        <c:idx val="4"/>
        <c:spPr>
          <a:ln w="38100" cap="rnd">
            <a:solidFill>
              <a:schemeClr val="accent1"/>
            </a:solidFill>
            <a:round/>
          </a:ln>
          <a:effectLst/>
        </c:spPr>
        <c:marker>
          <c:symbol val="circle"/>
          <c:size val="8"/>
          <c:spPr>
            <a:solidFill>
              <a:schemeClr val="accent1"/>
            </a:solidFill>
            <a:ln>
              <a:noFill/>
            </a:ln>
            <a:effectLst/>
          </c:spPr>
        </c:marker>
      </c:pivotFmt>
    </c:pivotFmts>
    <c:plotArea>
      <c:layout/>
      <c:lineChart>
        <c:grouping val="standard"/>
        <c:varyColors val="0"/>
        <c:ser>
          <c:idx val="0"/>
          <c:order val="0"/>
          <c:tx>
            <c:strRef>
              <c:f>PivotTables!$E$3</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cat>
            <c:strRef>
              <c:f>PivotTables!$D$4:$D$16</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PivotTables!$E$4:$E$16</c:f>
              <c:numCache>
                <c:formatCode>General</c:formatCode>
                <c:ptCount val="12"/>
                <c:pt idx="0">
                  <c:v>84098.86000000003</c:v>
                </c:pt>
                <c:pt idx="1">
                  <c:v>98482.98</c:v>
                </c:pt>
                <c:pt idx="2">
                  <c:v>80375.600000000006</c:v>
                </c:pt>
                <c:pt idx="3">
                  <c:v>78824.77</c:v>
                </c:pt>
                <c:pt idx="4">
                  <c:v>100953.94</c:v>
                </c:pt>
                <c:pt idx="5">
                  <c:v>86830.540000000008</c:v>
                </c:pt>
                <c:pt idx="6">
                  <c:v>95206.300000000032</c:v>
                </c:pt>
                <c:pt idx="7">
                  <c:v>83244.909999999989</c:v>
                </c:pt>
                <c:pt idx="8">
                  <c:v>70893.570000000007</c:v>
                </c:pt>
                <c:pt idx="9">
                  <c:v>97177.559999999983</c:v>
                </c:pt>
                <c:pt idx="10">
                  <c:v>105716.17000000001</c:v>
                </c:pt>
                <c:pt idx="11">
                  <c:v>85892.63999999997</c:v>
                </c:pt>
              </c:numCache>
            </c:numRef>
          </c:val>
          <c:smooth val="0"/>
        </c:ser>
        <c:dLbls>
          <c:showLegendKey val="0"/>
          <c:showVal val="0"/>
          <c:showCatName val="0"/>
          <c:showSerName val="0"/>
          <c:showPercent val="0"/>
          <c:showBubbleSize val="0"/>
        </c:dLbls>
        <c:marker val="1"/>
        <c:smooth val="0"/>
        <c:axId val="373557352"/>
        <c:axId val="373591224"/>
      </c:lineChart>
      <c:catAx>
        <c:axId val="373557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373591224"/>
        <c:crosses val="autoZero"/>
        <c:auto val="1"/>
        <c:lblAlgn val="ctr"/>
        <c:lblOffset val="100"/>
        <c:noMultiLvlLbl val="0"/>
      </c:catAx>
      <c:valAx>
        <c:axId val="3735912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5573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[Excel_Sales_Dashboard_Dataset (Recovered).xlsx]PivotTables!PivotTable3</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Sales by Region</a:t>
            </a:r>
            <a:endParaRPr lang="en-US"/>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alpha val="85000"/>
            </a:schemeClr>
          </a:solidFill>
          <a:ln w="9525" cap="flat" cmpd="sng" algn="ctr">
            <a:solidFill>
              <a:schemeClr val="accent1">
                <a:lumMod val="75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0639860244055621"/>
          <c:y val="0.22930256973692242"/>
          <c:w val="0.84627169419222292"/>
          <c:h val="0.57064566929133853"/>
        </c:manualLayout>
      </c:layout>
      <c:barChart>
        <c:barDir val="bar"/>
        <c:grouping val="clustered"/>
        <c:varyColors val="0"/>
        <c:ser>
          <c:idx val="0"/>
          <c:order val="0"/>
          <c:tx>
            <c:strRef>
              <c:f>PivotTables!$B$20</c:f>
              <c:strCache>
                <c:ptCount val="1"/>
                <c:pt idx="0">
                  <c:v>Total</c:v>
                </c:pt>
              </c:strCache>
            </c:strRef>
          </c:tx>
          <c:spPr>
            <a:solidFill>
              <a:schemeClr val="accent1">
                <a:alpha val="85000"/>
              </a:schemeClr>
            </a:solidFill>
            <a:ln w="9525" cap="flat" cmpd="sng" algn="ctr">
              <a:solidFill>
                <a:schemeClr val="accent1">
                  <a:lumMod val="7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PivotTables!$A$21:$A$25</c:f>
              <c:strCache>
                <c:ptCount val="4"/>
                <c:pt idx="0">
                  <c:v>East</c:v>
                </c:pt>
                <c:pt idx="1">
                  <c:v>North</c:v>
                </c:pt>
                <c:pt idx="2">
                  <c:v>South</c:v>
                </c:pt>
                <c:pt idx="3">
                  <c:v>West</c:v>
                </c:pt>
              </c:strCache>
            </c:strRef>
          </c:cat>
          <c:val>
            <c:numRef>
              <c:f>PivotTables!$B$21:$B$25</c:f>
              <c:numCache>
                <c:formatCode>General</c:formatCode>
                <c:ptCount val="4"/>
                <c:pt idx="0">
                  <c:v>924866.37999999977</c:v>
                </c:pt>
                <c:pt idx="1">
                  <c:v>1086366.1400000004</c:v>
                </c:pt>
                <c:pt idx="2">
                  <c:v>959187.44000000006</c:v>
                </c:pt>
                <c:pt idx="3">
                  <c:v>951935.39</c:v>
                </c:pt>
              </c:numCache>
            </c:numRef>
          </c:val>
        </c:ser>
        <c:dLbls>
          <c:showLegendKey val="0"/>
          <c:showVal val="1"/>
          <c:showCatName val="0"/>
          <c:showSerName val="0"/>
          <c:showPercent val="0"/>
          <c:showBubbleSize val="0"/>
        </c:dLbls>
        <c:gapWidth val="65"/>
        <c:axId val="373635304"/>
        <c:axId val="373643888"/>
      </c:barChart>
      <c:catAx>
        <c:axId val="37363530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100" b="1" i="0" u="none" strike="noStrike" kern="1200" cap="all" baseline="0">
                <a:solidFill>
                  <a:schemeClr val="dk1">
                    <a:lumMod val="75000"/>
                    <a:lumOff val="25000"/>
                  </a:schemeClr>
                </a:solidFill>
                <a:latin typeface="+mn-lt"/>
                <a:ea typeface="+mn-ea"/>
                <a:cs typeface="+mn-cs"/>
              </a:defRPr>
            </a:pPr>
            <a:endParaRPr lang="en-US"/>
          </a:p>
        </c:txPr>
        <c:crossAx val="373643888"/>
        <c:crosses val="autoZero"/>
        <c:auto val="1"/>
        <c:lblAlgn val="ctr"/>
        <c:lblOffset val="100"/>
        <c:noMultiLvlLbl val="0"/>
      </c:catAx>
      <c:valAx>
        <c:axId val="3736438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73635304"/>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[Excel_Sales_Dashboard_Dataset (Recovered).xlsx]PivotTables!PivotTable4</c:name>
    <c:fmtId val="1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Sales by Category</a:t>
            </a:r>
            <a:endParaRPr lang="en-US"/>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clustered"/>
        <c:varyColors val="0"/>
        <c:ser>
          <c:idx val="0"/>
          <c:order val="0"/>
          <c:tx>
            <c:strRef>
              <c:f>PivotTables!$B$27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PivotTables!$A$28:$A$31</c:f>
              <c:strCache>
                <c:ptCount val="3"/>
                <c:pt idx="0">
                  <c:v>Electronics</c:v>
                </c:pt>
                <c:pt idx="1">
                  <c:v>Furniture</c:v>
                </c:pt>
                <c:pt idx="2">
                  <c:v>Office Supplies</c:v>
                </c:pt>
              </c:strCache>
            </c:strRef>
          </c:cat>
          <c:val>
            <c:numRef>
              <c:f>PivotTables!$B$28:$B$31</c:f>
              <c:numCache>
                <c:formatCode>General</c:formatCode>
                <c:ptCount val="3"/>
                <c:pt idx="0">
                  <c:v>1153965.3600000001</c:v>
                </c:pt>
                <c:pt idx="1">
                  <c:v>1276344.0900000005</c:v>
                </c:pt>
                <c:pt idx="2">
                  <c:v>1492045.9000000004</c:v>
                </c:pt>
              </c:numCache>
            </c:numRef>
          </c:val>
        </c:ser>
        <c:dLbls>
          <c:showLegendKey val="0"/>
          <c:showVal val="0"/>
          <c:showCatName val="0"/>
          <c:showSerName val="0"/>
          <c:showPercent val="0"/>
          <c:showBubbleSize val="0"/>
        </c:dLbls>
        <c:gapWidth val="115"/>
        <c:overlap val="-20"/>
        <c:axId val="373648312"/>
        <c:axId val="373690384"/>
      </c:barChart>
      <c:catAx>
        <c:axId val="37364831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373690384"/>
        <c:crosses val="autoZero"/>
        <c:auto val="1"/>
        <c:lblAlgn val="ctr"/>
        <c:lblOffset val="100"/>
        <c:noMultiLvlLbl val="0"/>
      </c:catAx>
      <c:valAx>
        <c:axId val="373690384"/>
        <c:scaling>
          <c:orientation val="minMax"/>
        </c:scaling>
        <c:delete val="1"/>
        <c:axPos val="b"/>
        <c:numFmt formatCode="General" sourceLinked="1"/>
        <c:majorTickMark val="none"/>
        <c:minorTickMark val="none"/>
        <c:tickLblPos val="nextTo"/>
        <c:crossAx val="3736483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[Excel_Sales_Dashboard_Dataset (Recovered).xlsx]PivotTables!PivotTable6</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Top Products by Sales</a:t>
            </a:r>
            <a:endParaRPr lang="en-US"/>
          </a:p>
        </c:rich>
      </c:tx>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spPr>
          <a:solidFill>
            <a:schemeClr val="accent1"/>
          </a:solidFill>
          <a:ln>
            <a:noFill/>
          </a:ln>
          <a:effectLst/>
        </c:spPr>
        <c:marker>
          <c:symbol val="diamond"/>
          <c:size val="6"/>
          <c:spPr>
            <a:solidFill>
              <a:schemeClr val="accent1"/>
            </a:solidFill>
            <a:ln w="9525">
              <a:solidFill>
                <a:schemeClr val="accent1"/>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8"/>
        <c:spPr>
          <a:solidFill>
            <a:schemeClr val="accent1"/>
          </a:solidFill>
          <a:ln>
            <a:noFill/>
          </a:ln>
          <a:effectLst/>
        </c:spPr>
        <c:dLbl>
          <c:idx val="0"/>
          <c:layout>
            <c:manualLayout>
              <c:x val="0.32234439672219356"/>
              <c:y val="-4.4043535249366465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solidFill>
            <a:schemeClr val="accent1"/>
          </a:solidFill>
          <a:ln>
            <a:noFill/>
          </a:ln>
          <a:effectLst/>
        </c:spPr>
        <c:dLbl>
          <c:idx val="0"/>
          <c:layout>
            <c:manualLayout>
              <c:x val="0.3223443967221935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1"/>
          </a:solidFill>
          <a:ln>
            <a:noFill/>
          </a:ln>
          <a:effectLst/>
        </c:spPr>
        <c:dLbl>
          <c:idx val="0"/>
          <c:layout>
            <c:manualLayout>
              <c:x val="0.22857148131210089"/>
              <c:y val="-1.7617414099746586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1"/>
        <c:spPr>
          <a:solidFill>
            <a:schemeClr val="accent1"/>
          </a:solidFill>
          <a:ln>
            <a:noFill/>
          </a:ln>
          <a:effectLst/>
        </c:spPr>
        <c:dLbl>
          <c:idx val="0"/>
          <c:layout>
            <c:manualLayout>
              <c:x val="0.32527480032875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2"/>
        <c:spPr>
          <a:solidFill>
            <a:schemeClr val="accent1"/>
          </a:solidFill>
          <a:ln>
            <a:noFill/>
          </a:ln>
          <a:effectLst/>
        </c:spPr>
        <c:dLbl>
          <c:idx val="0"/>
          <c:layout>
            <c:manualLayout>
              <c:x val="0.3106227822959318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1"/>
          </a:solidFill>
          <a:ln>
            <a:noFill/>
          </a:ln>
          <a:effectLst/>
        </c:spPr>
        <c:dLbl>
          <c:idx val="0"/>
          <c:layout>
            <c:manualLayout>
              <c:x val="0.28131874623027803"/>
              <c:y val="-8.808707049873292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accent1"/>
          </a:solidFill>
          <a:ln>
            <a:noFill/>
          </a:ln>
          <a:effectLst/>
        </c:spPr>
        <c:dLbl>
          <c:idx val="0"/>
          <c:layout>
            <c:manualLayout>
              <c:x val="0.36043964360754371"/>
              <c:y val="-2.202176762468323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5"/>
        <c:spPr>
          <a:solidFill>
            <a:schemeClr val="accent1"/>
          </a:solidFill>
          <a:ln>
            <a:noFill/>
          </a:ln>
          <a:effectLst/>
        </c:spPr>
        <c:dLbl>
          <c:idx val="0"/>
          <c:layout>
            <c:manualLayout>
              <c:x val="0.3135531859024973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chemeClr val="accent1"/>
          </a:solidFill>
          <a:ln>
            <a:noFill/>
          </a:ln>
          <a:effectLst/>
        </c:spPr>
        <c:dLbl>
          <c:idx val="0"/>
          <c:layout>
            <c:manualLayout>
              <c:x val="0.234432288525231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7"/>
        <c:spPr>
          <a:solidFill>
            <a:schemeClr val="accent1"/>
          </a:solidFill>
          <a:ln>
            <a:noFill/>
          </a:ln>
          <a:effectLst/>
        </c:spPr>
        <c:dLbl>
          <c:idx val="0"/>
          <c:layout>
            <c:manualLayout>
              <c:x val="0.30769237868936661"/>
              <c:y val="2.402402402402402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8"/>
        <c:spPr>
          <a:solidFill>
            <a:schemeClr val="accent1"/>
          </a:solidFill>
          <a:ln>
            <a:noFill/>
          </a:ln>
          <a:effectLst/>
        </c:spPr>
        <c:dLbl>
          <c:idx val="0"/>
          <c:layout>
            <c:manualLayout>
              <c:x val="0.2989011678696704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accent1"/>
          </a:solidFill>
          <a:ln>
            <a:noFill/>
          </a:ln>
          <a:effectLst/>
        </c:spPr>
        <c:dLbl>
          <c:idx val="0"/>
          <c:layout>
            <c:manualLayout>
              <c:x val="0.3194139931156281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0"/>
        <c:spPr>
          <a:solidFill>
            <a:schemeClr val="accent1"/>
          </a:solidFill>
          <a:ln>
            <a:noFill/>
          </a:ln>
          <a:effectLst/>
        </c:spPr>
        <c:dLbl>
          <c:idx val="0"/>
          <c:layout>
            <c:manualLayout>
              <c:x val="0.26080592098432026"/>
              <c:y val="-2.402402402402402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1"/>
        <c:spPr>
          <a:solidFill>
            <a:schemeClr val="accent1"/>
          </a:solidFill>
          <a:ln>
            <a:noFill/>
          </a:ln>
          <a:effectLst/>
        </c:spPr>
        <c:dLbl>
          <c:idx val="0"/>
          <c:layout>
            <c:manualLayout>
              <c:x val="0.369230854427239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2"/>
        <c:spPr>
          <a:solidFill>
            <a:schemeClr val="accent1"/>
          </a:solidFill>
          <a:ln>
            <a:noFill/>
          </a:ln>
          <a:effectLst/>
        </c:spPr>
        <c:dLbl>
          <c:idx val="0"/>
          <c:layout>
            <c:manualLayout>
              <c:x val="0.28717955344340884"/>
              <c:y val="-8.808707049873292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4029309573836249"/>
          <c:y val="0.12147851788796668"/>
          <c:w val="0.63695437384658615"/>
          <c:h val="0.83084438769478142"/>
        </c:manualLayout>
      </c:layout>
      <c:barChart>
        <c:barDir val="bar"/>
        <c:grouping val="stacked"/>
        <c:varyColors val="0"/>
        <c:ser>
          <c:idx val="0"/>
          <c:order val="0"/>
          <c:tx>
            <c:strRef>
              <c:f>PivotTables!$H$15</c:f>
              <c:strCache>
                <c:ptCount val="1"/>
                <c:pt idx="0">
                  <c:v>Total</c:v>
                </c:pt>
              </c:strCache>
            </c:strRef>
          </c:tx>
          <c:spPr>
            <a:solidFill>
              <a:schemeClr val="accent1"/>
            </a:solidFill>
            <a:ln>
              <a:noFill/>
            </a:ln>
            <a:effectLst/>
          </c:spPr>
          <c:invertIfNegative val="0"/>
          <c:dPt>
            <c:idx val="0"/>
            <c:invertIfNegative val="0"/>
            <c:bubble3D val="0"/>
          </c:dPt>
          <c:dPt>
            <c:idx val="1"/>
            <c:invertIfNegative val="0"/>
            <c:bubble3D val="0"/>
          </c:dPt>
          <c:dPt>
            <c:idx val="2"/>
            <c:invertIfNegative val="0"/>
            <c:bubble3D val="0"/>
          </c:dPt>
          <c:dPt>
            <c:idx val="3"/>
            <c:invertIfNegative val="0"/>
            <c:bubble3D val="0"/>
          </c:dPt>
          <c:dPt>
            <c:idx val="4"/>
            <c:invertIfNegative val="0"/>
            <c:bubble3D val="0"/>
          </c:dPt>
          <c:dPt>
            <c:idx val="5"/>
            <c:invertIfNegative val="0"/>
            <c:bubble3D val="0"/>
          </c:dPt>
          <c:dPt>
            <c:idx val="6"/>
            <c:invertIfNegative val="0"/>
            <c:bubble3D val="0"/>
          </c:dPt>
          <c:dPt>
            <c:idx val="7"/>
            <c:invertIfNegative val="0"/>
            <c:bubble3D val="0"/>
          </c:dPt>
          <c:dPt>
            <c:idx val="8"/>
            <c:invertIfNegative val="0"/>
            <c:bubble3D val="0"/>
          </c:dPt>
          <c:dPt>
            <c:idx val="9"/>
            <c:invertIfNegative val="0"/>
            <c:bubble3D val="0"/>
          </c:dPt>
          <c:dPt>
            <c:idx val="10"/>
            <c:invertIfNegative val="0"/>
            <c:bubble3D val="0"/>
          </c:dPt>
          <c:dPt>
            <c:idx val="11"/>
            <c:invertIfNegative val="0"/>
            <c:bubble3D val="0"/>
          </c:dPt>
          <c:dPt>
            <c:idx val="12"/>
            <c:invertIfNegative val="0"/>
            <c:bubble3D val="0"/>
          </c:dPt>
          <c:dPt>
            <c:idx val="13"/>
            <c:invertIfNegative val="0"/>
            <c:bubble3D val="0"/>
          </c:dPt>
          <c:dPt>
            <c:idx val="14"/>
            <c:invertIfNegative val="0"/>
            <c:bubble3D val="0"/>
          </c:dPt>
          <c:dLbls>
            <c:dLbl>
              <c:idx val="0"/>
              <c:layout>
                <c:manualLayout>
                  <c:x val="0.22857148131210089"/>
                  <c:y val="-1.7617414099746586E-16"/>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2344322885252316"/>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26080592098432026"/>
                  <c:y val="-2.4024024024024023E-3"/>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28131874623027803"/>
                  <c:y val="-8.8087070498732929E-17"/>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28717955344340884"/>
                  <c:y val="-8.8087070498732929E-17"/>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0.31062278229593188"/>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0.30769237868936661"/>
                  <c:y val="2.4024024024024023E-3"/>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0.29890116786967041"/>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8"/>
              <c:layout>
                <c:manualLayout>
                  <c:x val="0.31355318590249731"/>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9"/>
              <c:layout>
                <c:manualLayout>
                  <c:x val="0.325274800328759"/>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10"/>
              <c:layout>
                <c:manualLayout>
                  <c:x val="0.32234439672219356"/>
                  <c:y val="-4.4043535249366465E-17"/>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11"/>
              <c:layout>
                <c:manualLayout>
                  <c:x val="0.31941399311562818"/>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12"/>
              <c:layout>
                <c:manualLayout>
                  <c:x val="0.32234439672219356"/>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13"/>
              <c:layout>
                <c:manualLayout>
                  <c:x val="0.36043964360754371"/>
                  <c:y val="-2.2021767624683232E-17"/>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14"/>
              <c:layout>
                <c:manualLayout>
                  <c:x val="0.3692308544272398"/>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PivotTables!$G$16:$G$31</c:f>
              <c:strCache>
                <c:ptCount val="15"/>
                <c:pt idx="0">
                  <c:v>Chair</c:v>
                </c:pt>
                <c:pt idx="1">
                  <c:v>Mouse</c:v>
                </c:pt>
                <c:pt idx="2">
                  <c:v>Printer</c:v>
                </c:pt>
                <c:pt idx="3">
                  <c:v>Laptop</c:v>
                </c:pt>
                <c:pt idx="4">
                  <c:v>Table</c:v>
                </c:pt>
                <c:pt idx="5">
                  <c:v>Keyboard</c:v>
                </c:pt>
                <c:pt idx="6">
                  <c:v>Notebook</c:v>
                </c:pt>
                <c:pt idx="7">
                  <c:v>Paper</c:v>
                </c:pt>
                <c:pt idx="8">
                  <c:v>Monitor</c:v>
                </c:pt>
                <c:pt idx="9">
                  <c:v>Desk</c:v>
                </c:pt>
                <c:pt idx="10">
                  <c:v>Bookshelf</c:v>
                </c:pt>
                <c:pt idx="11">
                  <c:v>Pen</c:v>
                </c:pt>
                <c:pt idx="12">
                  <c:v>Cabinet</c:v>
                </c:pt>
                <c:pt idx="13">
                  <c:v>Marker</c:v>
                </c:pt>
                <c:pt idx="14">
                  <c:v>Stapler</c:v>
                </c:pt>
              </c:strCache>
            </c:strRef>
          </c:cat>
          <c:val>
            <c:numRef>
              <c:f>PivotTables!$H$16:$H$31</c:f>
              <c:numCache>
                <c:formatCode>General</c:formatCode>
                <c:ptCount val="15"/>
                <c:pt idx="0">
                  <c:v>166363.57</c:v>
                </c:pt>
                <c:pt idx="1">
                  <c:v>169238.97000000003</c:v>
                </c:pt>
                <c:pt idx="2">
                  <c:v>217527.23</c:v>
                </c:pt>
                <c:pt idx="3">
                  <c:v>239949.84999999995</c:v>
                </c:pt>
                <c:pt idx="4">
                  <c:v>247045.61000000004</c:v>
                </c:pt>
                <c:pt idx="5">
                  <c:v>250739.16999999998</c:v>
                </c:pt>
                <c:pt idx="6">
                  <c:v>259856.29000000004</c:v>
                </c:pt>
                <c:pt idx="7">
                  <c:v>266914.09999999992</c:v>
                </c:pt>
                <c:pt idx="8">
                  <c:v>276510.14</c:v>
                </c:pt>
                <c:pt idx="9">
                  <c:v>280299.06</c:v>
                </c:pt>
                <c:pt idx="10">
                  <c:v>286250.55</c:v>
                </c:pt>
                <c:pt idx="11">
                  <c:v>287322.76</c:v>
                </c:pt>
                <c:pt idx="12">
                  <c:v>296385.30000000005</c:v>
                </c:pt>
                <c:pt idx="13">
                  <c:v>323710.17</c:v>
                </c:pt>
                <c:pt idx="14">
                  <c:v>354242.58</c:v>
                </c:pt>
              </c:numCache>
            </c:numRef>
          </c:val>
        </c:ser>
        <c:dLbls>
          <c:dLblPos val="ctr"/>
          <c:showLegendKey val="0"/>
          <c:showVal val="1"/>
          <c:showCatName val="0"/>
          <c:showSerName val="0"/>
          <c:showPercent val="0"/>
          <c:showBubbleSize val="0"/>
        </c:dLbls>
        <c:gapWidth val="79"/>
        <c:overlap val="100"/>
        <c:axId val="594457976"/>
        <c:axId val="594463464"/>
      </c:barChart>
      <c:valAx>
        <c:axId val="594463464"/>
        <c:scaling>
          <c:orientation val="minMax"/>
        </c:scaling>
        <c:delete val="1"/>
        <c:axPos val="b"/>
        <c:numFmt formatCode="General" sourceLinked="1"/>
        <c:majorTickMark val="none"/>
        <c:minorTickMark val="none"/>
        <c:tickLblPos val="nextTo"/>
        <c:crossAx val="594457976"/>
        <c:crossBetween val="between"/>
      </c:valAx>
      <c:catAx>
        <c:axId val="594457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94463464"/>
        <c:auto val="1"/>
        <c:lblAlgn val="ctr"/>
        <c:lblOffset val="100"/>
        <c:noMultiLvlLbl val="0"/>
      </c:cat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161924</xdr:rowOff>
    </xdr:from>
    <xdr:to>
      <xdr:col>9</xdr:col>
      <xdr:colOff>245533</xdr:colOff>
      <xdr:row>29</xdr:row>
      <xdr:rowOff>66674</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247649</xdr:colOff>
      <xdr:row>9</xdr:row>
      <xdr:rowOff>142874</xdr:rowOff>
    </xdr:from>
    <xdr:to>
      <xdr:col>16</xdr:col>
      <xdr:colOff>9524</xdr:colOff>
      <xdr:row>29</xdr:row>
      <xdr:rowOff>123824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29</xdr:row>
      <xdr:rowOff>57151</xdr:rowOff>
    </xdr:from>
    <xdr:to>
      <xdr:col>9</xdr:col>
      <xdr:colOff>237066</xdr:colOff>
      <xdr:row>42</xdr:row>
      <xdr:rowOff>123826</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238122</xdr:colOff>
      <xdr:row>29</xdr:row>
      <xdr:rowOff>66676</xdr:rowOff>
    </xdr:from>
    <xdr:to>
      <xdr:col>15</xdr:col>
      <xdr:colOff>609599</xdr:colOff>
      <xdr:row>42</xdr:row>
      <xdr:rowOff>133350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600077</xdr:colOff>
      <xdr:row>13</xdr:row>
      <xdr:rowOff>85725</xdr:rowOff>
    </xdr:from>
    <xdr:to>
      <xdr:col>19</xdr:col>
      <xdr:colOff>228601</xdr:colOff>
      <xdr:row>42</xdr:row>
      <xdr:rowOff>123825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9526</xdr:colOff>
      <xdr:row>1</xdr:row>
      <xdr:rowOff>110490</xdr:rowOff>
    </xdr:from>
    <xdr:to>
      <xdr:col>17</xdr:col>
      <xdr:colOff>1562100</xdr:colOff>
      <xdr:row>13</xdr:row>
      <xdr:rowOff>104775</xdr:rowOff>
    </xdr:to>
    <mc:AlternateContent xmlns:mc="http://schemas.openxmlformats.org/markup-compatibility/2006">
      <mc:Choice xmlns:a14="http://schemas.microsoft.com/office/drawing/2010/main" Requires="a14">
        <xdr:graphicFrame macro="">
          <xdr:nvGraphicFramePr>
            <xdr:cNvPr id="3" name="Months 1"/>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dr:sp macro="" textlink="">
          <xdr:nvSpPr>
            <xdr:cNvPr id="0" name=""/>
            <xdr:cNvSpPr>
              <a:spLocks noTextEdit="1"/>
            </xdr:cNvSpPr>
          </xdr:nvSpPr>
          <xdr:spPr>
            <a:xfrm>
              <a:off x="13382626" y="434340"/>
              <a:ext cx="2162174" cy="2727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1562100</xdr:colOff>
      <xdr:row>1</xdr:row>
      <xdr:rowOff>104775</xdr:rowOff>
    </xdr:from>
    <xdr:to>
      <xdr:col>19</xdr:col>
      <xdr:colOff>304801</xdr:colOff>
      <xdr:row>7</xdr:row>
      <xdr:rowOff>19051</xdr:rowOff>
    </xdr:to>
    <mc:AlternateContent xmlns:mc="http://schemas.openxmlformats.org/markup-compatibility/2006">
      <mc:Choice xmlns:a14="http://schemas.microsoft.com/office/drawing/2010/main" Requires="a14">
        <xdr:graphicFrame macro="">
          <xdr:nvGraphicFramePr>
            <xdr:cNvPr id="13"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5544800" y="428625"/>
              <a:ext cx="2228851" cy="12573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1562101</xdr:colOff>
      <xdr:row>7</xdr:row>
      <xdr:rowOff>34291</xdr:rowOff>
    </xdr:from>
    <xdr:to>
      <xdr:col>19</xdr:col>
      <xdr:colOff>304801</xdr:colOff>
      <xdr:row>13</xdr:row>
      <xdr:rowOff>123825</xdr:rowOff>
    </xdr:to>
    <mc:AlternateContent xmlns:mc="http://schemas.openxmlformats.org/markup-compatibility/2006">
      <mc:Choice xmlns:a14="http://schemas.microsoft.com/office/drawing/2010/main" Requires="a14">
        <xdr:graphicFrame macro="">
          <xdr:nvGraphicFramePr>
            <xdr:cNvPr id="14"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5544801" y="1701166"/>
              <a:ext cx="2228850" cy="14801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alit saini" refreshedDate="46207.68866226852" createdVersion="5" refreshedVersion="5" minRefreshableVersion="3" recordCount="500">
  <cacheSource type="worksheet">
    <worksheetSource name="Table2"/>
  </cacheSource>
  <cacheFields count="14">
    <cacheField name="Order ID" numFmtId="0">
      <sharedItems/>
    </cacheField>
    <cacheField name="Order Date" numFmtId="0">
      <sharedItems/>
    </cacheField>
    <cacheField name="Customer" numFmtId="0">
      <sharedItems count="20">
        <s v="Amit"/>
        <s v="Ankit"/>
        <s v="Anjali"/>
        <s v="Nisha"/>
        <s v="Mohit"/>
        <s v="Arjun"/>
        <s v="Priya"/>
        <s v="Manish"/>
        <s v="Rohit"/>
        <s v="Deepak"/>
        <s v="Sneha"/>
        <s v="Simran"/>
        <s v="Sakshi"/>
        <s v="Pooja"/>
        <s v="Riya"/>
        <s v="Kavya"/>
        <s v="Karan"/>
        <s v="Rahul"/>
        <s v="Vikas"/>
        <s v="Neha"/>
      </sharedItems>
    </cacheField>
    <cacheField name="Region" numFmtId="0">
      <sharedItems count="4">
        <s v="East"/>
        <s v="North"/>
        <s v="West"/>
        <s v="South"/>
      </sharedItems>
    </cacheField>
    <cacheField name="State" numFmtId="0">
      <sharedItems/>
    </cacheField>
    <cacheField name="Category" numFmtId="0">
      <sharedItems count="3">
        <s v="Electronics"/>
        <s v="Office Supplies"/>
        <s v="Furniture"/>
      </sharedItems>
    </cacheField>
    <cacheField name="Product" numFmtId="0">
      <sharedItems count="15">
        <s v="Keyboard"/>
        <s v="Stapler"/>
        <s v="Monitor"/>
        <s v="Cabinet"/>
        <s v="Marker"/>
        <s v="Desk"/>
        <s v="Laptop"/>
        <s v="Chair"/>
        <s v="Table"/>
        <s v="Pen"/>
        <s v="Notebook"/>
        <s v="Paper"/>
        <s v="Bookshelf"/>
        <s v="Mouse"/>
        <s v="Printer"/>
      </sharedItems>
    </cacheField>
    <cacheField name="Salesperson" numFmtId="0">
      <sharedItems count="10">
        <s v="Asha"/>
        <s v="Vivek"/>
        <s v="Meena"/>
        <s v="Sanjay"/>
        <s v="Komal"/>
        <s v="Ravi"/>
        <s v="Sunita"/>
        <s v="Ajay"/>
        <s v="Formula2" f="1"/>
        <s v="Formula1" f="1"/>
      </sharedItems>
    </cacheField>
    <cacheField name="Quantity" numFmtId="0">
      <sharedItems containsSemiMixedTypes="0" containsString="0" containsNumber="1" containsInteger="1" minValue="1" maxValue="10"/>
    </cacheField>
    <cacheField name="Sales" numFmtId="0">
      <sharedItems containsSemiMixedTypes="0" containsString="0" containsNumber="1" minValue="187.27" maxValue="31051.7"/>
    </cacheField>
    <cacheField name="Cost" numFmtId="0">
      <sharedItems containsSemiMixedTypes="0" containsString="0" containsNumber="1" minValue="158" maxValue="19791.099999999999"/>
    </cacheField>
    <cacheField name="Profit" numFmtId="0">
      <sharedItems containsSemiMixedTypes="0" containsString="0" containsNumber="1" minValue="29.27" maxValue="11260.6"/>
    </cacheField>
    <cacheField name="Months" numFmtId="165">
      <sharedItems count="24">
        <s v="01"/>
        <s v="02"/>
        <s v="03"/>
        <s v="04"/>
        <s v="05"/>
        <s v="06"/>
        <s v="07"/>
        <s v="08"/>
        <s v="09"/>
        <s v="10"/>
        <s v="11"/>
        <s v="12"/>
        <s v="Sep" u="1"/>
        <s v="Jan" u="1"/>
        <s v="Feb" u="1"/>
        <s v="Apr" u="1"/>
        <s v="Nov" u="1"/>
        <s v="Dec" u="1"/>
        <s v="Oct" u="1"/>
        <s v="Jul" u="1"/>
        <s v="Mar" u="1"/>
        <s v="Aug" u="1"/>
        <s v="Jun" u="1"/>
        <s v="May" u="1"/>
      </sharedItems>
    </cacheField>
    <cacheField name="Years" numFmtId="0">
      <sharedItems containsSemiMixedTypes="0" containsString="0" containsNumber="1" containsInteger="1" minValue="2025" maxValue="2025"/>
    </cacheField>
  </cacheFields>
  <calculatedItems count="2">
    <calculatedItem>
      <pivotArea cacheIndex="1" outline="0" fieldPosition="0">
        <references count="1">
          <reference field="7" count="1">
            <x v="9"/>
          </reference>
        </references>
      </pivotArea>
    </calculatedItem>
    <calculatedItem>
      <pivotArea cacheIndex="1" outline="0" fieldPosition="0">
        <references count="1">
          <reference field="7" count="1">
            <x v="8"/>
          </reference>
        </references>
      </pivotArea>
    </calculatedItem>
  </calculatedItem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
  <r>
    <s v="ORD1001"/>
    <s v="2025-01-13"/>
    <x v="0"/>
    <x v="0"/>
    <s v="Bihar"/>
    <x v="0"/>
    <x v="0"/>
    <x v="0"/>
    <n v="6"/>
    <n v="4701.78"/>
    <n v="3190.5"/>
    <n v="1511.28"/>
    <x v="0"/>
    <n v="2025"/>
  </r>
  <r>
    <s v="ORD1030"/>
    <s v="2025-01-20"/>
    <x v="1"/>
    <x v="1"/>
    <s v="Haryana"/>
    <x v="1"/>
    <x v="1"/>
    <x v="1"/>
    <n v="8"/>
    <n v="12771.36"/>
    <n v="9710.08"/>
    <n v="3061.28"/>
    <x v="0"/>
    <n v="2025"/>
  </r>
  <r>
    <s v="ORD1039"/>
    <s v="2025-01-27"/>
    <x v="1"/>
    <x v="2"/>
    <s v="Maharashtra"/>
    <x v="0"/>
    <x v="2"/>
    <x v="2"/>
    <n v="8"/>
    <n v="12981.04"/>
    <n v="9032.48"/>
    <n v="3948.56"/>
    <x v="0"/>
    <n v="2025"/>
  </r>
  <r>
    <s v="ORD1063"/>
    <s v="2025-01-14"/>
    <x v="2"/>
    <x v="2"/>
    <s v="Gujarat"/>
    <x v="2"/>
    <x v="3"/>
    <x v="3"/>
    <n v="5"/>
    <n v="1624.75"/>
    <n v="1183.6500000000001"/>
    <n v="441.1"/>
    <x v="0"/>
    <n v="2025"/>
  </r>
  <r>
    <s v="ORD1064"/>
    <s v="2025-01-09"/>
    <x v="3"/>
    <x v="3"/>
    <s v="Telangana"/>
    <x v="0"/>
    <x v="0"/>
    <x v="4"/>
    <n v="6"/>
    <n v="5879.16"/>
    <n v="4595.76"/>
    <n v="1283.4000000000001"/>
    <x v="0"/>
    <n v="2025"/>
  </r>
  <r>
    <s v="ORD1103"/>
    <s v="2025-01-03"/>
    <x v="4"/>
    <x v="1"/>
    <s v="Uttar Pradesh"/>
    <x v="1"/>
    <x v="4"/>
    <x v="0"/>
    <n v="6"/>
    <n v="4874.28"/>
    <n v="4044"/>
    <n v="830.28"/>
    <x v="0"/>
    <n v="2025"/>
  </r>
  <r>
    <s v="ORD1121"/>
    <s v="2025-01-27"/>
    <x v="2"/>
    <x v="1"/>
    <s v="Uttar Pradesh"/>
    <x v="2"/>
    <x v="5"/>
    <x v="4"/>
    <n v="9"/>
    <n v="11028.96"/>
    <n v="7732.53"/>
    <n v="3296.43"/>
    <x v="0"/>
    <n v="2025"/>
  </r>
  <r>
    <s v="ORD1128"/>
    <s v="2025-01-08"/>
    <x v="5"/>
    <x v="3"/>
    <s v="Telangana"/>
    <x v="0"/>
    <x v="6"/>
    <x v="2"/>
    <n v="10"/>
    <n v="21940.5"/>
    <n v="15556.5"/>
    <n v="6384"/>
    <x v="0"/>
    <n v="2025"/>
  </r>
  <r>
    <s v="ORD1132"/>
    <s v="2025-01-01"/>
    <x v="0"/>
    <x v="3"/>
    <s v="Telangana"/>
    <x v="0"/>
    <x v="0"/>
    <x v="5"/>
    <n v="1"/>
    <n v="2474.94"/>
    <n v="1582.54"/>
    <n v="892.4"/>
    <x v="0"/>
    <n v="2025"/>
  </r>
  <r>
    <s v="ORD1133"/>
    <s v="2025-01-18"/>
    <x v="1"/>
    <x v="3"/>
    <s v="Telangana"/>
    <x v="2"/>
    <x v="7"/>
    <x v="5"/>
    <n v="1"/>
    <n v="1148.3"/>
    <n v="727.72"/>
    <n v="420.58"/>
    <x v="0"/>
    <n v="2025"/>
  </r>
  <r>
    <s v="ORD1134"/>
    <s v="2025-01-05"/>
    <x v="6"/>
    <x v="0"/>
    <s v="West Bengal"/>
    <x v="2"/>
    <x v="7"/>
    <x v="3"/>
    <n v="8"/>
    <n v="6711.84"/>
    <n v="5239.6000000000004"/>
    <n v="1472.24"/>
    <x v="0"/>
    <n v="2025"/>
  </r>
  <r>
    <s v="ORD1146"/>
    <s v="2025-01-15"/>
    <x v="4"/>
    <x v="1"/>
    <s v="Uttar Pradesh"/>
    <x v="2"/>
    <x v="3"/>
    <x v="4"/>
    <n v="6"/>
    <n v="2349.6"/>
    <n v="1626.48"/>
    <n v="723.12"/>
    <x v="0"/>
    <n v="2025"/>
  </r>
  <r>
    <s v="ORD1148"/>
    <s v="2025-01-28"/>
    <x v="7"/>
    <x v="1"/>
    <s v="Haryana"/>
    <x v="1"/>
    <x v="4"/>
    <x v="4"/>
    <n v="7"/>
    <n v="14508.97"/>
    <n v="10405.709999999999"/>
    <n v="4103.26"/>
    <x v="0"/>
    <n v="2025"/>
  </r>
  <r>
    <s v="ORD1189"/>
    <s v="2025-01-08"/>
    <x v="7"/>
    <x v="0"/>
    <s v="Odisha"/>
    <x v="1"/>
    <x v="1"/>
    <x v="2"/>
    <n v="5"/>
    <n v="11125.55"/>
    <n v="8616.9500000000007"/>
    <n v="2508.6"/>
    <x v="0"/>
    <n v="2025"/>
  </r>
  <r>
    <s v="ORD1191"/>
    <s v="2025-01-11"/>
    <x v="4"/>
    <x v="2"/>
    <s v="Goa"/>
    <x v="2"/>
    <x v="5"/>
    <x v="0"/>
    <n v="9"/>
    <n v="20310.75"/>
    <n v="15436.35"/>
    <n v="4874.3999999999996"/>
    <x v="0"/>
    <n v="2025"/>
  </r>
  <r>
    <s v="ORD1206"/>
    <s v="2025-01-03"/>
    <x v="8"/>
    <x v="1"/>
    <s v="Haryana"/>
    <x v="0"/>
    <x v="2"/>
    <x v="6"/>
    <n v="9"/>
    <n v="2436.9299999999998"/>
    <n v="1708.2"/>
    <n v="728.73"/>
    <x v="0"/>
    <n v="2025"/>
  </r>
  <r>
    <s v="ORD1218"/>
    <s v="2025-01-06"/>
    <x v="9"/>
    <x v="0"/>
    <s v="West Bengal"/>
    <x v="0"/>
    <x v="6"/>
    <x v="2"/>
    <n v="6"/>
    <n v="6679.5"/>
    <n v="4715.82"/>
    <n v="1963.68"/>
    <x v="0"/>
    <n v="2025"/>
  </r>
  <r>
    <s v="ORD1240"/>
    <s v="2025-01-28"/>
    <x v="10"/>
    <x v="1"/>
    <s v="Punjab"/>
    <x v="0"/>
    <x v="2"/>
    <x v="6"/>
    <n v="3"/>
    <n v="1091.0999999999999"/>
    <n v="769.02"/>
    <n v="322.08"/>
    <x v="0"/>
    <n v="2025"/>
  </r>
  <r>
    <s v="ORD1249"/>
    <s v="2025-01-08"/>
    <x v="2"/>
    <x v="2"/>
    <s v="Maharashtra"/>
    <x v="0"/>
    <x v="0"/>
    <x v="7"/>
    <n v="3"/>
    <n v="6943.08"/>
    <n v="4463.6099999999997"/>
    <n v="2479.4699999999998"/>
    <x v="0"/>
    <n v="2025"/>
  </r>
  <r>
    <s v="ORD1259"/>
    <s v="2025-01-05"/>
    <x v="0"/>
    <x v="1"/>
    <s v="Haryana"/>
    <x v="2"/>
    <x v="5"/>
    <x v="1"/>
    <n v="2"/>
    <n v="4917.8"/>
    <n v="3731.5"/>
    <n v="1186.3"/>
    <x v="0"/>
    <n v="2025"/>
  </r>
  <r>
    <s v="ORD1265"/>
    <s v="2025-01-15"/>
    <x v="11"/>
    <x v="3"/>
    <s v="Karnataka"/>
    <x v="2"/>
    <x v="7"/>
    <x v="3"/>
    <n v="1"/>
    <n v="2204.2600000000002"/>
    <n v="1469.82"/>
    <n v="734.44"/>
    <x v="0"/>
    <n v="2025"/>
  </r>
  <r>
    <s v="ORD1286"/>
    <s v="2025-01-02"/>
    <x v="0"/>
    <x v="0"/>
    <s v="Assam"/>
    <x v="2"/>
    <x v="8"/>
    <x v="2"/>
    <n v="4"/>
    <n v="11236.8"/>
    <n v="7899.44"/>
    <n v="3337.36"/>
    <x v="0"/>
    <n v="2025"/>
  </r>
  <r>
    <s v="ORD1314"/>
    <s v="2025-01-16"/>
    <x v="6"/>
    <x v="2"/>
    <s v="Gujarat"/>
    <x v="1"/>
    <x v="9"/>
    <x v="1"/>
    <n v="5"/>
    <n v="7847.7"/>
    <n v="5123.05"/>
    <n v="2724.65"/>
    <x v="0"/>
    <n v="2025"/>
  </r>
  <r>
    <s v="ORD1320"/>
    <s v="2025-01-20"/>
    <x v="6"/>
    <x v="2"/>
    <s v="Rajasthan"/>
    <x v="1"/>
    <x v="4"/>
    <x v="4"/>
    <n v="6"/>
    <n v="3028.14"/>
    <n v="2229.2399999999998"/>
    <n v="798.9"/>
    <x v="0"/>
    <n v="2025"/>
  </r>
  <r>
    <s v="ORD1322"/>
    <s v="2025-01-27"/>
    <x v="12"/>
    <x v="1"/>
    <s v="Haryana"/>
    <x v="0"/>
    <x v="6"/>
    <x v="2"/>
    <n v="2"/>
    <n v="4403.3599999999997"/>
    <n v="3246.16"/>
    <n v="1157.2"/>
    <x v="0"/>
    <n v="2025"/>
  </r>
  <r>
    <s v="ORD1328"/>
    <s v="2025-01-14"/>
    <x v="13"/>
    <x v="1"/>
    <s v="Uttar Pradesh"/>
    <x v="2"/>
    <x v="3"/>
    <x v="2"/>
    <n v="1"/>
    <n v="2575.59"/>
    <n v="1825.4"/>
    <n v="750.19"/>
    <x v="0"/>
    <n v="2025"/>
  </r>
  <r>
    <s v="ORD1334"/>
    <s v="2025-01-13"/>
    <x v="14"/>
    <x v="1"/>
    <s v="Haryana"/>
    <x v="1"/>
    <x v="9"/>
    <x v="5"/>
    <n v="9"/>
    <n v="19005.84"/>
    <n v="13360.68"/>
    <n v="5645.16"/>
    <x v="0"/>
    <n v="2025"/>
  </r>
  <r>
    <s v="ORD1335"/>
    <s v="2025-01-07"/>
    <x v="4"/>
    <x v="3"/>
    <s v="Karnataka"/>
    <x v="2"/>
    <x v="8"/>
    <x v="3"/>
    <n v="4"/>
    <n v="3938.76"/>
    <n v="2489.36"/>
    <n v="1449.4"/>
    <x v="0"/>
    <n v="2025"/>
  </r>
  <r>
    <s v="ORD1349"/>
    <s v="2025-01-23"/>
    <x v="4"/>
    <x v="3"/>
    <s v="Kerala"/>
    <x v="0"/>
    <x v="6"/>
    <x v="3"/>
    <n v="5"/>
    <n v="2133.8000000000002"/>
    <n v="1357.45"/>
    <n v="776.35"/>
    <x v="0"/>
    <n v="2025"/>
  </r>
  <r>
    <s v="ORD1389"/>
    <s v="2025-01-31"/>
    <x v="15"/>
    <x v="3"/>
    <s v="Kerala"/>
    <x v="1"/>
    <x v="10"/>
    <x v="0"/>
    <n v="10"/>
    <n v="20082.900000000001"/>
    <n v="14558.6"/>
    <n v="5524.3"/>
    <x v="0"/>
    <n v="2025"/>
  </r>
  <r>
    <s v="ORD1393"/>
    <s v="2025-01-14"/>
    <x v="5"/>
    <x v="1"/>
    <s v="Punjab"/>
    <x v="1"/>
    <x v="11"/>
    <x v="4"/>
    <n v="10"/>
    <n v="2422.8000000000002"/>
    <n v="1766.3"/>
    <n v="656.5"/>
    <x v="0"/>
    <n v="2025"/>
  </r>
  <r>
    <s v="ORD1402"/>
    <s v="2025-01-10"/>
    <x v="0"/>
    <x v="3"/>
    <s v="Karnataka"/>
    <x v="1"/>
    <x v="11"/>
    <x v="4"/>
    <n v="5"/>
    <n v="654.45000000000005"/>
    <n v="537.70000000000005"/>
    <n v="116.75"/>
    <x v="0"/>
    <n v="2025"/>
  </r>
  <r>
    <s v="ORD1408"/>
    <s v="2025-01-17"/>
    <x v="5"/>
    <x v="1"/>
    <s v="Delhi"/>
    <x v="2"/>
    <x v="12"/>
    <x v="7"/>
    <n v="1"/>
    <n v="2267.84"/>
    <n v="1479.37"/>
    <n v="788.47"/>
    <x v="0"/>
    <n v="2025"/>
  </r>
  <r>
    <s v="ORD1409"/>
    <s v="2025-01-06"/>
    <x v="9"/>
    <x v="2"/>
    <s v="Goa"/>
    <x v="0"/>
    <x v="0"/>
    <x v="2"/>
    <n v="7"/>
    <n v="14165.06"/>
    <n v="11998"/>
    <n v="2167.06"/>
    <x v="0"/>
    <n v="2025"/>
  </r>
  <r>
    <s v="ORD1417"/>
    <s v="2025-01-09"/>
    <x v="5"/>
    <x v="2"/>
    <s v="Goa"/>
    <x v="2"/>
    <x v="12"/>
    <x v="5"/>
    <n v="10"/>
    <n v="6505.9"/>
    <n v="4652.5"/>
    <n v="1853.4"/>
    <x v="0"/>
    <n v="2025"/>
  </r>
  <r>
    <s v="ORD1422"/>
    <s v="2025-01-08"/>
    <x v="16"/>
    <x v="0"/>
    <s v="Bihar"/>
    <x v="0"/>
    <x v="0"/>
    <x v="0"/>
    <n v="9"/>
    <n v="11756.43"/>
    <n v="8960.85"/>
    <n v="2795.58"/>
    <x v="0"/>
    <n v="2025"/>
  </r>
  <r>
    <s v="ORD1431"/>
    <s v="2025-01-24"/>
    <x v="15"/>
    <x v="0"/>
    <s v="West Bengal"/>
    <x v="0"/>
    <x v="13"/>
    <x v="5"/>
    <n v="1"/>
    <n v="329.61"/>
    <n v="208.45"/>
    <n v="121.16"/>
    <x v="0"/>
    <n v="2025"/>
  </r>
  <r>
    <s v="ORD1438"/>
    <s v="2025-01-20"/>
    <x v="12"/>
    <x v="3"/>
    <s v="Kerala"/>
    <x v="1"/>
    <x v="9"/>
    <x v="4"/>
    <n v="5"/>
    <n v="11750.6"/>
    <n v="8349.2000000000007"/>
    <n v="3401.4"/>
    <x v="0"/>
    <n v="2025"/>
  </r>
  <r>
    <s v="ORD1443"/>
    <s v="2025-01-04"/>
    <x v="17"/>
    <x v="3"/>
    <s v="Kerala"/>
    <x v="2"/>
    <x v="3"/>
    <x v="3"/>
    <n v="4"/>
    <n v="10912"/>
    <n v="7404.76"/>
    <n v="3507.24"/>
    <x v="0"/>
    <n v="2025"/>
  </r>
  <r>
    <s v="ORD1467"/>
    <s v="2025-01-05"/>
    <x v="4"/>
    <x v="0"/>
    <s v="Odisha"/>
    <x v="0"/>
    <x v="14"/>
    <x v="4"/>
    <n v="1"/>
    <n v="461.12"/>
    <n v="308.16000000000003"/>
    <n v="152.96"/>
    <x v="0"/>
    <n v="2025"/>
  </r>
  <r>
    <s v="ORD1479"/>
    <s v="2025-01-16"/>
    <x v="1"/>
    <x v="0"/>
    <s v="Assam"/>
    <x v="0"/>
    <x v="2"/>
    <x v="4"/>
    <n v="8"/>
    <n v="9127.1200000000008"/>
    <n v="5917.92"/>
    <n v="3209.2"/>
    <x v="0"/>
    <n v="2025"/>
  </r>
  <r>
    <s v="ORD1024"/>
    <s v="2025-02-19"/>
    <x v="7"/>
    <x v="2"/>
    <s v="Gujarat"/>
    <x v="2"/>
    <x v="7"/>
    <x v="3"/>
    <n v="8"/>
    <n v="7605.92"/>
    <n v="6327.68"/>
    <n v="1278.24"/>
    <x v="1"/>
    <n v="2025"/>
  </r>
  <r>
    <s v="ORD1046"/>
    <s v="2025-02-24"/>
    <x v="16"/>
    <x v="0"/>
    <s v="Odisha"/>
    <x v="2"/>
    <x v="12"/>
    <x v="5"/>
    <n v="1"/>
    <n v="2040.32"/>
    <n v="1758.4"/>
    <n v="281.92"/>
    <x v="1"/>
    <n v="2025"/>
  </r>
  <r>
    <s v="ORD1047"/>
    <s v="2025-02-11"/>
    <x v="9"/>
    <x v="3"/>
    <s v="Tamil Nadu"/>
    <x v="2"/>
    <x v="8"/>
    <x v="1"/>
    <n v="5"/>
    <n v="8009.45"/>
    <n v="5816.15"/>
    <n v="2193.3000000000002"/>
    <x v="1"/>
    <n v="2025"/>
  </r>
  <r>
    <s v="ORD1072"/>
    <s v="2025-02-26"/>
    <x v="5"/>
    <x v="3"/>
    <s v="Tamil Nadu"/>
    <x v="1"/>
    <x v="11"/>
    <x v="4"/>
    <n v="10"/>
    <n v="6844.6"/>
    <n v="5078.2"/>
    <n v="1766.4"/>
    <x v="1"/>
    <n v="2025"/>
  </r>
  <r>
    <s v="ORD1075"/>
    <s v="2025-02-07"/>
    <x v="9"/>
    <x v="3"/>
    <s v="Telangana"/>
    <x v="1"/>
    <x v="4"/>
    <x v="6"/>
    <n v="9"/>
    <n v="18693.36"/>
    <n v="15870.24"/>
    <n v="2823.12"/>
    <x v="1"/>
    <n v="2025"/>
  </r>
  <r>
    <s v="ORD1082"/>
    <s v="2025-02-10"/>
    <x v="12"/>
    <x v="3"/>
    <s v="Telangana"/>
    <x v="2"/>
    <x v="7"/>
    <x v="4"/>
    <n v="9"/>
    <n v="4036.59"/>
    <n v="2767.68"/>
    <n v="1268.9100000000001"/>
    <x v="1"/>
    <n v="2025"/>
  </r>
  <r>
    <s v="ORD1087"/>
    <s v="2025-02-23"/>
    <x v="16"/>
    <x v="2"/>
    <s v="Goa"/>
    <x v="2"/>
    <x v="8"/>
    <x v="6"/>
    <n v="10"/>
    <n v="18303.099999999999"/>
    <n v="13262.4"/>
    <n v="5040.7"/>
    <x v="1"/>
    <n v="2025"/>
  </r>
  <r>
    <s v="ORD1094"/>
    <s v="2025-02-15"/>
    <x v="13"/>
    <x v="1"/>
    <s v="Haryana"/>
    <x v="1"/>
    <x v="10"/>
    <x v="4"/>
    <n v="3"/>
    <n v="5389.29"/>
    <n v="3376.41"/>
    <n v="2012.88"/>
    <x v="1"/>
    <n v="2025"/>
  </r>
  <r>
    <s v="ORD1097"/>
    <s v="2025-02-11"/>
    <x v="5"/>
    <x v="1"/>
    <s v="Haryana"/>
    <x v="1"/>
    <x v="1"/>
    <x v="2"/>
    <n v="5"/>
    <n v="1207.05"/>
    <n v="788.85"/>
    <n v="418.2"/>
    <x v="1"/>
    <n v="2025"/>
  </r>
  <r>
    <s v="ORD1108"/>
    <s v="2025-02-18"/>
    <x v="4"/>
    <x v="1"/>
    <s v="Delhi"/>
    <x v="2"/>
    <x v="5"/>
    <x v="7"/>
    <n v="4"/>
    <n v="1891.44"/>
    <n v="1470.24"/>
    <n v="421.2"/>
    <x v="1"/>
    <n v="2025"/>
  </r>
  <r>
    <s v="ORD1114"/>
    <s v="2025-02-23"/>
    <x v="13"/>
    <x v="2"/>
    <s v="Rajasthan"/>
    <x v="0"/>
    <x v="2"/>
    <x v="1"/>
    <n v="1"/>
    <n v="1887.14"/>
    <n v="1617.39"/>
    <n v="269.75"/>
    <x v="1"/>
    <n v="2025"/>
  </r>
  <r>
    <s v="ORD1116"/>
    <s v="2025-02-19"/>
    <x v="15"/>
    <x v="3"/>
    <s v="Tamil Nadu"/>
    <x v="2"/>
    <x v="8"/>
    <x v="0"/>
    <n v="7"/>
    <n v="3470.32"/>
    <n v="2681.91"/>
    <n v="788.41"/>
    <x v="1"/>
    <n v="2025"/>
  </r>
  <r>
    <s v="ORD1143"/>
    <s v="2025-02-22"/>
    <x v="9"/>
    <x v="1"/>
    <s v="Haryana"/>
    <x v="1"/>
    <x v="9"/>
    <x v="4"/>
    <n v="6"/>
    <n v="15951.78"/>
    <n v="11282.58"/>
    <n v="4669.2"/>
    <x v="1"/>
    <n v="2025"/>
  </r>
  <r>
    <s v="ORD1160"/>
    <s v="2025-02-18"/>
    <x v="3"/>
    <x v="1"/>
    <s v="Haryana"/>
    <x v="1"/>
    <x v="1"/>
    <x v="6"/>
    <n v="10"/>
    <n v="12666.6"/>
    <n v="9860.9"/>
    <n v="2805.7"/>
    <x v="1"/>
    <n v="2025"/>
  </r>
  <r>
    <s v="ORD1166"/>
    <s v="2025-02-03"/>
    <x v="10"/>
    <x v="2"/>
    <s v="Gujarat"/>
    <x v="1"/>
    <x v="4"/>
    <x v="6"/>
    <n v="10"/>
    <n v="19895.5"/>
    <n v="14864.4"/>
    <n v="5031.1000000000004"/>
    <x v="1"/>
    <n v="2025"/>
  </r>
  <r>
    <s v="ORD1170"/>
    <s v="2025-02-28"/>
    <x v="11"/>
    <x v="3"/>
    <s v="Karnataka"/>
    <x v="1"/>
    <x v="10"/>
    <x v="4"/>
    <n v="1"/>
    <n v="1603.31"/>
    <n v="1073.3"/>
    <n v="530.01"/>
    <x v="1"/>
    <n v="2025"/>
  </r>
  <r>
    <s v="ORD1175"/>
    <s v="2025-02-05"/>
    <x v="8"/>
    <x v="2"/>
    <s v="Maharashtra"/>
    <x v="1"/>
    <x v="4"/>
    <x v="1"/>
    <n v="6"/>
    <n v="5417.76"/>
    <n v="4322.9399999999996"/>
    <n v="1094.82"/>
    <x v="1"/>
    <n v="2025"/>
  </r>
  <r>
    <s v="ORD1178"/>
    <s v="2025-02-25"/>
    <x v="17"/>
    <x v="0"/>
    <s v="Odisha"/>
    <x v="0"/>
    <x v="0"/>
    <x v="1"/>
    <n v="10"/>
    <n v="10271.700000000001"/>
    <n v="7140.4"/>
    <n v="3131.3"/>
    <x v="1"/>
    <n v="2025"/>
  </r>
  <r>
    <s v="ORD1187"/>
    <s v="2025-02-16"/>
    <x v="12"/>
    <x v="3"/>
    <s v="Tamil Nadu"/>
    <x v="0"/>
    <x v="14"/>
    <x v="7"/>
    <n v="4"/>
    <n v="7270.6"/>
    <n v="4592.04"/>
    <n v="2678.56"/>
    <x v="1"/>
    <n v="2025"/>
  </r>
  <r>
    <s v="ORD1192"/>
    <s v="2025-02-26"/>
    <x v="15"/>
    <x v="2"/>
    <s v="Goa"/>
    <x v="1"/>
    <x v="10"/>
    <x v="5"/>
    <n v="9"/>
    <n v="11323.8"/>
    <n v="7226.1"/>
    <n v="4097.7"/>
    <x v="1"/>
    <n v="2025"/>
  </r>
  <r>
    <s v="ORD1193"/>
    <s v="2025-02-20"/>
    <x v="16"/>
    <x v="1"/>
    <s v="Haryana"/>
    <x v="2"/>
    <x v="12"/>
    <x v="1"/>
    <n v="9"/>
    <n v="17904.509999999998"/>
    <n v="12870.81"/>
    <n v="5033.7"/>
    <x v="1"/>
    <n v="2025"/>
  </r>
  <r>
    <s v="ORD1207"/>
    <s v="2025-02-05"/>
    <x v="0"/>
    <x v="0"/>
    <s v="Bihar"/>
    <x v="2"/>
    <x v="3"/>
    <x v="7"/>
    <n v="4"/>
    <n v="10092.48"/>
    <n v="7760.24"/>
    <n v="2332.2399999999998"/>
    <x v="1"/>
    <n v="2025"/>
  </r>
  <r>
    <s v="ORD1215"/>
    <s v="2025-02-01"/>
    <x v="18"/>
    <x v="0"/>
    <s v="Odisha"/>
    <x v="1"/>
    <x v="1"/>
    <x v="6"/>
    <n v="7"/>
    <n v="11890.34"/>
    <n v="7732.06"/>
    <n v="4158.28"/>
    <x v="1"/>
    <n v="2025"/>
  </r>
  <r>
    <s v="ORD1225"/>
    <s v="2025-02-07"/>
    <x v="16"/>
    <x v="1"/>
    <s v="Delhi"/>
    <x v="2"/>
    <x v="12"/>
    <x v="1"/>
    <n v="9"/>
    <n v="6139.35"/>
    <n v="3953.97"/>
    <n v="2185.38"/>
    <x v="1"/>
    <n v="2025"/>
  </r>
  <r>
    <s v="ORD1267"/>
    <s v="2025-02-17"/>
    <x v="8"/>
    <x v="3"/>
    <s v="Tamil Nadu"/>
    <x v="1"/>
    <x v="9"/>
    <x v="5"/>
    <n v="4"/>
    <n v="716.24"/>
    <n v="512.79999999999995"/>
    <n v="203.44"/>
    <x v="1"/>
    <n v="2025"/>
  </r>
  <r>
    <s v="ORD1269"/>
    <s v="2025-02-20"/>
    <x v="6"/>
    <x v="0"/>
    <s v="Bihar"/>
    <x v="2"/>
    <x v="5"/>
    <x v="5"/>
    <n v="7"/>
    <n v="4674.74"/>
    <n v="3488.38"/>
    <n v="1186.3599999999999"/>
    <x v="1"/>
    <n v="2025"/>
  </r>
  <r>
    <s v="ORD1283"/>
    <s v="2025-02-13"/>
    <x v="10"/>
    <x v="2"/>
    <s v="Maharashtra"/>
    <x v="0"/>
    <x v="14"/>
    <x v="6"/>
    <n v="10"/>
    <n v="5233.3999999999996"/>
    <n v="3990.2"/>
    <n v="1243.2"/>
    <x v="1"/>
    <n v="2025"/>
  </r>
  <r>
    <s v="ORD1287"/>
    <s v="2025-02-24"/>
    <x v="4"/>
    <x v="1"/>
    <s v="Punjab"/>
    <x v="0"/>
    <x v="0"/>
    <x v="5"/>
    <n v="5"/>
    <n v="12295.75"/>
    <n v="9830.4"/>
    <n v="2465.35"/>
    <x v="1"/>
    <n v="2025"/>
  </r>
  <r>
    <s v="ORD1301"/>
    <s v="2025-02-16"/>
    <x v="3"/>
    <x v="2"/>
    <s v="Rajasthan"/>
    <x v="2"/>
    <x v="12"/>
    <x v="1"/>
    <n v="2"/>
    <n v="2377.54"/>
    <n v="1791.54"/>
    <n v="586"/>
    <x v="1"/>
    <n v="2025"/>
  </r>
  <r>
    <s v="ORD1341"/>
    <s v="2025-02-04"/>
    <x v="3"/>
    <x v="3"/>
    <s v="Telangana"/>
    <x v="2"/>
    <x v="3"/>
    <x v="7"/>
    <n v="9"/>
    <n v="5810.67"/>
    <n v="4089.51"/>
    <n v="1721.16"/>
    <x v="1"/>
    <n v="2025"/>
  </r>
  <r>
    <s v="ORD1355"/>
    <s v="2025-02-10"/>
    <x v="5"/>
    <x v="3"/>
    <s v="Karnataka"/>
    <x v="2"/>
    <x v="5"/>
    <x v="4"/>
    <n v="5"/>
    <n v="4026.8"/>
    <n v="2850.85"/>
    <n v="1175.95"/>
    <x v="1"/>
    <n v="2025"/>
  </r>
  <r>
    <s v="ORD1364"/>
    <s v="2025-02-02"/>
    <x v="5"/>
    <x v="3"/>
    <s v="Kerala"/>
    <x v="0"/>
    <x v="0"/>
    <x v="5"/>
    <n v="1"/>
    <n v="1104.71"/>
    <n v="768.89"/>
    <n v="335.82"/>
    <x v="1"/>
    <n v="2025"/>
  </r>
  <r>
    <s v="ORD1375"/>
    <s v="2025-02-20"/>
    <x v="1"/>
    <x v="2"/>
    <s v="Maharashtra"/>
    <x v="0"/>
    <x v="2"/>
    <x v="2"/>
    <n v="4"/>
    <n v="7739.96"/>
    <n v="6283.4"/>
    <n v="1456.56"/>
    <x v="1"/>
    <n v="2025"/>
  </r>
  <r>
    <s v="ORD1394"/>
    <s v="2025-02-08"/>
    <x v="6"/>
    <x v="3"/>
    <s v="Tamil Nadu"/>
    <x v="2"/>
    <x v="3"/>
    <x v="3"/>
    <n v="6"/>
    <n v="16452.78"/>
    <n v="11260.86"/>
    <n v="5191.92"/>
    <x v="1"/>
    <n v="2025"/>
  </r>
  <r>
    <s v="ORD1396"/>
    <s v="2025-02-18"/>
    <x v="18"/>
    <x v="3"/>
    <s v="Tamil Nadu"/>
    <x v="1"/>
    <x v="4"/>
    <x v="0"/>
    <n v="8"/>
    <n v="6019.2"/>
    <n v="4409.6000000000004"/>
    <n v="1609.6"/>
    <x v="1"/>
    <n v="2025"/>
  </r>
  <r>
    <s v="ORD1398"/>
    <s v="2025-02-06"/>
    <x v="16"/>
    <x v="2"/>
    <s v="Maharashtra"/>
    <x v="1"/>
    <x v="1"/>
    <x v="1"/>
    <n v="9"/>
    <n v="22584.42"/>
    <n v="15194.52"/>
    <n v="7389.9"/>
    <x v="1"/>
    <n v="2025"/>
  </r>
  <r>
    <s v="ORD1423"/>
    <s v="2025-02-14"/>
    <x v="7"/>
    <x v="1"/>
    <s v="Punjab"/>
    <x v="1"/>
    <x v="9"/>
    <x v="6"/>
    <n v="2"/>
    <n v="5800.16"/>
    <n v="3741.34"/>
    <n v="2058.8200000000002"/>
    <x v="1"/>
    <n v="2025"/>
  </r>
  <r>
    <s v="ORD1433"/>
    <s v="2025-02-11"/>
    <x v="17"/>
    <x v="0"/>
    <s v="Bihar"/>
    <x v="1"/>
    <x v="1"/>
    <x v="6"/>
    <n v="6"/>
    <n v="9505.86"/>
    <n v="6987.78"/>
    <n v="2518.08"/>
    <x v="1"/>
    <n v="2025"/>
  </r>
  <r>
    <s v="ORD1436"/>
    <s v="2025-02-24"/>
    <x v="2"/>
    <x v="0"/>
    <s v="Odisha"/>
    <x v="2"/>
    <x v="8"/>
    <x v="7"/>
    <n v="9"/>
    <n v="9321.57"/>
    <n v="6970.23"/>
    <n v="2351.34"/>
    <x v="1"/>
    <n v="2025"/>
  </r>
  <r>
    <s v="ORD1439"/>
    <s v="2025-02-28"/>
    <x v="9"/>
    <x v="1"/>
    <s v="Uttar Pradesh"/>
    <x v="2"/>
    <x v="5"/>
    <x v="1"/>
    <n v="6"/>
    <n v="14071.92"/>
    <n v="10262.16"/>
    <n v="3809.76"/>
    <x v="1"/>
    <n v="2025"/>
  </r>
  <r>
    <s v="ORD1459"/>
    <s v="2025-02-20"/>
    <x v="4"/>
    <x v="2"/>
    <s v="Goa"/>
    <x v="2"/>
    <x v="8"/>
    <x v="2"/>
    <n v="1"/>
    <n v="1564.44"/>
    <n v="1299.3699999999999"/>
    <n v="265.07"/>
    <x v="1"/>
    <n v="2025"/>
  </r>
  <r>
    <s v="ORD1487"/>
    <s v="2025-02-12"/>
    <x v="18"/>
    <x v="2"/>
    <s v="Maharashtra"/>
    <x v="1"/>
    <x v="4"/>
    <x v="0"/>
    <n v="3"/>
    <n v="2714.73"/>
    <n v="1723.74"/>
    <n v="990.99"/>
    <x v="1"/>
    <n v="2025"/>
  </r>
  <r>
    <s v="ORD1488"/>
    <s v="2025-02-03"/>
    <x v="11"/>
    <x v="0"/>
    <s v="West Bengal"/>
    <x v="2"/>
    <x v="12"/>
    <x v="6"/>
    <n v="2"/>
    <n v="6050.96"/>
    <n v="3830"/>
    <n v="2220.96"/>
    <x v="1"/>
    <n v="2025"/>
  </r>
  <r>
    <s v="ORD1494"/>
    <s v="2025-02-08"/>
    <x v="6"/>
    <x v="3"/>
    <s v="Karnataka"/>
    <x v="2"/>
    <x v="3"/>
    <x v="3"/>
    <n v="6"/>
    <n v="11965.26"/>
    <n v="8573.58"/>
    <n v="3391.68"/>
    <x v="1"/>
    <n v="2025"/>
  </r>
  <r>
    <s v="ORD1013"/>
    <s v="2025-03-18"/>
    <x v="2"/>
    <x v="2"/>
    <s v="Maharashtra"/>
    <x v="1"/>
    <x v="11"/>
    <x v="6"/>
    <n v="4"/>
    <n v="6225.64"/>
    <n v="4714.28"/>
    <n v="1511.36"/>
    <x v="2"/>
    <n v="2025"/>
  </r>
  <r>
    <s v="ORD1018"/>
    <s v="2025-03-12"/>
    <x v="0"/>
    <x v="1"/>
    <s v="Punjab"/>
    <x v="1"/>
    <x v="1"/>
    <x v="4"/>
    <n v="2"/>
    <n v="3062.44"/>
    <n v="2331.04"/>
    <n v="731.4"/>
    <x v="2"/>
    <n v="2025"/>
  </r>
  <r>
    <s v="ORD1032"/>
    <s v="2025-03-23"/>
    <x v="1"/>
    <x v="3"/>
    <s v="Karnataka"/>
    <x v="1"/>
    <x v="11"/>
    <x v="0"/>
    <n v="10"/>
    <n v="1706.6"/>
    <n v="1268.5"/>
    <n v="438.1"/>
    <x v="2"/>
    <n v="2025"/>
  </r>
  <r>
    <s v="ORD1061"/>
    <s v="2025-03-15"/>
    <x v="19"/>
    <x v="2"/>
    <s v="Goa"/>
    <x v="1"/>
    <x v="11"/>
    <x v="2"/>
    <n v="4"/>
    <n v="4568.32"/>
    <n v="3955.56"/>
    <n v="612.76"/>
    <x v="2"/>
    <n v="2025"/>
  </r>
  <r>
    <s v="ORD1065"/>
    <s v="2025-03-06"/>
    <x v="1"/>
    <x v="3"/>
    <s v="Tamil Nadu"/>
    <x v="2"/>
    <x v="12"/>
    <x v="7"/>
    <n v="2"/>
    <n v="1650.92"/>
    <n v="1411.52"/>
    <n v="239.4"/>
    <x v="2"/>
    <n v="2025"/>
  </r>
  <r>
    <s v="ORD1070"/>
    <s v="2025-03-20"/>
    <x v="8"/>
    <x v="2"/>
    <s v="Goa"/>
    <x v="0"/>
    <x v="13"/>
    <x v="0"/>
    <n v="2"/>
    <n v="2119.02"/>
    <n v="1655.9"/>
    <n v="463.12"/>
    <x v="2"/>
    <n v="2025"/>
  </r>
  <r>
    <s v="ORD1091"/>
    <s v="2025-03-20"/>
    <x v="7"/>
    <x v="3"/>
    <s v="Kerala"/>
    <x v="2"/>
    <x v="8"/>
    <x v="0"/>
    <n v="4"/>
    <n v="9868.68"/>
    <n v="6387.88"/>
    <n v="3480.8"/>
    <x v="2"/>
    <n v="2025"/>
  </r>
  <r>
    <s v="ORD1112"/>
    <s v="2025-03-03"/>
    <x v="9"/>
    <x v="2"/>
    <s v="Maharashtra"/>
    <x v="1"/>
    <x v="9"/>
    <x v="0"/>
    <n v="2"/>
    <n v="3423.48"/>
    <n v="2680.84"/>
    <n v="742.64"/>
    <x v="2"/>
    <n v="2025"/>
  </r>
  <r>
    <s v="ORD1117"/>
    <s v="2025-03-16"/>
    <x v="1"/>
    <x v="2"/>
    <s v="Goa"/>
    <x v="2"/>
    <x v="12"/>
    <x v="7"/>
    <n v="10"/>
    <n v="25760"/>
    <n v="16210"/>
    <n v="9550"/>
    <x v="2"/>
    <n v="2025"/>
  </r>
  <r>
    <s v="ORD1145"/>
    <s v="2025-03-31"/>
    <x v="19"/>
    <x v="3"/>
    <s v="Tamil Nadu"/>
    <x v="0"/>
    <x v="14"/>
    <x v="5"/>
    <n v="7"/>
    <n v="3541.23"/>
    <n v="2324.84"/>
    <n v="1216.3900000000001"/>
    <x v="2"/>
    <n v="2025"/>
  </r>
  <r>
    <s v="ORD1150"/>
    <s v="2025-03-24"/>
    <x v="10"/>
    <x v="2"/>
    <s v="Rajasthan"/>
    <x v="1"/>
    <x v="11"/>
    <x v="5"/>
    <n v="2"/>
    <n v="3450.9"/>
    <n v="2207.58"/>
    <n v="1243.32"/>
    <x v="2"/>
    <n v="2025"/>
  </r>
  <r>
    <s v="ORD1153"/>
    <s v="2025-03-10"/>
    <x v="3"/>
    <x v="2"/>
    <s v="Maharashtra"/>
    <x v="1"/>
    <x v="11"/>
    <x v="5"/>
    <n v="10"/>
    <n v="6029.6"/>
    <n v="5200.3999999999996"/>
    <n v="829.2"/>
    <x v="2"/>
    <n v="2025"/>
  </r>
  <r>
    <s v="ORD1168"/>
    <s v="2025-03-25"/>
    <x v="3"/>
    <x v="3"/>
    <s v="Telangana"/>
    <x v="0"/>
    <x v="6"/>
    <x v="7"/>
    <n v="8"/>
    <n v="1903.44"/>
    <n v="1296.8800000000001"/>
    <n v="606.55999999999995"/>
    <x v="2"/>
    <n v="2025"/>
  </r>
  <r>
    <s v="ORD1171"/>
    <s v="2025-03-16"/>
    <x v="11"/>
    <x v="1"/>
    <s v="Haryana"/>
    <x v="0"/>
    <x v="14"/>
    <x v="5"/>
    <n v="4"/>
    <n v="2892.04"/>
    <n v="2047.04"/>
    <n v="845"/>
    <x v="2"/>
    <n v="2025"/>
  </r>
  <r>
    <s v="ORD1173"/>
    <s v="2025-03-06"/>
    <x v="13"/>
    <x v="3"/>
    <s v="Kerala"/>
    <x v="2"/>
    <x v="3"/>
    <x v="2"/>
    <n v="10"/>
    <n v="21458.5"/>
    <n v="17769.5"/>
    <n v="3689"/>
    <x v="2"/>
    <n v="2025"/>
  </r>
  <r>
    <s v="ORD1183"/>
    <s v="2025-03-24"/>
    <x v="3"/>
    <x v="1"/>
    <s v="Haryana"/>
    <x v="2"/>
    <x v="12"/>
    <x v="3"/>
    <n v="7"/>
    <n v="8519.35"/>
    <n v="6075.09"/>
    <n v="2444.2600000000002"/>
    <x v="2"/>
    <n v="2025"/>
  </r>
  <r>
    <s v="ORD1200"/>
    <s v="2025-03-03"/>
    <x v="8"/>
    <x v="1"/>
    <s v="Delhi"/>
    <x v="0"/>
    <x v="13"/>
    <x v="2"/>
    <n v="7"/>
    <n v="11091.43"/>
    <n v="7458.64"/>
    <n v="3632.79"/>
    <x v="2"/>
    <n v="2025"/>
  </r>
  <r>
    <s v="ORD1205"/>
    <s v="2025-03-15"/>
    <x v="17"/>
    <x v="1"/>
    <s v="Delhi"/>
    <x v="0"/>
    <x v="6"/>
    <x v="0"/>
    <n v="9"/>
    <n v="15209.73"/>
    <n v="12430.17"/>
    <n v="2779.56"/>
    <x v="2"/>
    <n v="2025"/>
  </r>
  <r>
    <s v="ORD1209"/>
    <s v="2025-03-23"/>
    <x v="5"/>
    <x v="1"/>
    <s v="Punjab"/>
    <x v="2"/>
    <x v="12"/>
    <x v="1"/>
    <n v="1"/>
    <n v="401.55"/>
    <n v="309.23"/>
    <n v="92.32"/>
    <x v="2"/>
    <n v="2025"/>
  </r>
  <r>
    <s v="ORD1210"/>
    <s v="2025-03-30"/>
    <x v="14"/>
    <x v="1"/>
    <s v="Haryana"/>
    <x v="0"/>
    <x v="14"/>
    <x v="7"/>
    <n v="1"/>
    <n v="781.75"/>
    <n v="548.75"/>
    <n v="233"/>
    <x v="2"/>
    <n v="2025"/>
  </r>
  <r>
    <s v="ORD1211"/>
    <s v="2025-03-06"/>
    <x v="8"/>
    <x v="1"/>
    <s v="Punjab"/>
    <x v="1"/>
    <x v="4"/>
    <x v="5"/>
    <n v="10"/>
    <n v="10716.2"/>
    <n v="7723.7"/>
    <n v="2992.5"/>
    <x v="2"/>
    <n v="2025"/>
  </r>
  <r>
    <s v="ORD1257"/>
    <s v="2025-03-26"/>
    <x v="16"/>
    <x v="1"/>
    <s v="Haryana"/>
    <x v="0"/>
    <x v="2"/>
    <x v="0"/>
    <n v="5"/>
    <n v="3895.2"/>
    <n v="3283.25"/>
    <n v="611.95000000000005"/>
    <x v="2"/>
    <n v="2025"/>
  </r>
  <r>
    <s v="ORD1271"/>
    <s v="2025-03-30"/>
    <x v="17"/>
    <x v="1"/>
    <s v="Punjab"/>
    <x v="2"/>
    <x v="3"/>
    <x v="6"/>
    <n v="3"/>
    <n v="5143.17"/>
    <n v="4260.12"/>
    <n v="883.05"/>
    <x v="2"/>
    <n v="2025"/>
  </r>
  <r>
    <s v="ORD1294"/>
    <s v="2025-03-15"/>
    <x v="16"/>
    <x v="3"/>
    <s v="Telangana"/>
    <x v="0"/>
    <x v="6"/>
    <x v="6"/>
    <n v="5"/>
    <n v="5835.35"/>
    <n v="4677.6499999999996"/>
    <n v="1157.7"/>
    <x v="2"/>
    <n v="2025"/>
  </r>
  <r>
    <s v="ORD1299"/>
    <s v="2025-03-28"/>
    <x v="7"/>
    <x v="3"/>
    <s v="Tamil Nadu"/>
    <x v="0"/>
    <x v="2"/>
    <x v="1"/>
    <n v="2"/>
    <n v="4886.42"/>
    <n v="3266.88"/>
    <n v="1619.54"/>
    <x v="2"/>
    <n v="2025"/>
  </r>
  <r>
    <s v="ORD1304"/>
    <s v="2025-03-29"/>
    <x v="1"/>
    <x v="2"/>
    <s v="Rajasthan"/>
    <x v="0"/>
    <x v="14"/>
    <x v="2"/>
    <n v="9"/>
    <n v="13620.69"/>
    <n v="11477.07"/>
    <n v="2143.62"/>
    <x v="2"/>
    <n v="2025"/>
  </r>
  <r>
    <s v="ORD1315"/>
    <s v="2025-03-31"/>
    <x v="3"/>
    <x v="1"/>
    <s v="Haryana"/>
    <x v="2"/>
    <x v="12"/>
    <x v="2"/>
    <n v="3"/>
    <n v="5104.6499999999996"/>
    <n v="3421.89"/>
    <n v="1682.76"/>
    <x v="2"/>
    <n v="2025"/>
  </r>
  <r>
    <s v="ORD1316"/>
    <s v="2025-03-21"/>
    <x v="5"/>
    <x v="2"/>
    <s v="Gujarat"/>
    <x v="2"/>
    <x v="3"/>
    <x v="1"/>
    <n v="10"/>
    <n v="13565.4"/>
    <n v="9841.7000000000007"/>
    <n v="3723.7"/>
    <x v="2"/>
    <n v="2025"/>
  </r>
  <r>
    <s v="ORD1317"/>
    <s v="2025-03-18"/>
    <x v="12"/>
    <x v="2"/>
    <s v="Maharashtra"/>
    <x v="0"/>
    <x v="14"/>
    <x v="0"/>
    <n v="7"/>
    <n v="9715.2999999999993"/>
    <n v="8036.91"/>
    <n v="1678.39"/>
    <x v="2"/>
    <n v="2025"/>
  </r>
  <r>
    <s v="ORD1337"/>
    <s v="2025-03-06"/>
    <x v="3"/>
    <x v="3"/>
    <s v="Tamil Nadu"/>
    <x v="0"/>
    <x v="6"/>
    <x v="4"/>
    <n v="2"/>
    <n v="4165.78"/>
    <n v="3038.78"/>
    <n v="1127"/>
    <x v="2"/>
    <n v="2025"/>
  </r>
  <r>
    <s v="ORD1339"/>
    <s v="2025-03-03"/>
    <x v="10"/>
    <x v="3"/>
    <s v="Tamil Nadu"/>
    <x v="0"/>
    <x v="6"/>
    <x v="5"/>
    <n v="3"/>
    <n v="1495.53"/>
    <n v="1178.4000000000001"/>
    <n v="317.13"/>
    <x v="2"/>
    <n v="2025"/>
  </r>
  <r>
    <s v="ORD1352"/>
    <s v="2025-03-16"/>
    <x v="2"/>
    <x v="0"/>
    <s v="Odisha"/>
    <x v="1"/>
    <x v="10"/>
    <x v="5"/>
    <n v="6"/>
    <n v="8423.1"/>
    <n v="5604"/>
    <n v="2819.1"/>
    <x v="2"/>
    <n v="2025"/>
  </r>
  <r>
    <s v="ORD1357"/>
    <s v="2025-03-17"/>
    <x v="19"/>
    <x v="0"/>
    <s v="Assam"/>
    <x v="0"/>
    <x v="6"/>
    <x v="5"/>
    <n v="6"/>
    <n v="6841.68"/>
    <n v="4318.26"/>
    <n v="2523.42"/>
    <x v="2"/>
    <n v="2025"/>
  </r>
  <r>
    <s v="ORD1358"/>
    <s v="2025-03-28"/>
    <x v="12"/>
    <x v="1"/>
    <s v="Delhi"/>
    <x v="1"/>
    <x v="10"/>
    <x v="6"/>
    <n v="9"/>
    <n v="5147.1000000000004"/>
    <n v="3833.46"/>
    <n v="1313.64"/>
    <x v="2"/>
    <n v="2025"/>
  </r>
  <r>
    <s v="ORD1368"/>
    <s v="2025-03-01"/>
    <x v="1"/>
    <x v="3"/>
    <s v="Kerala"/>
    <x v="0"/>
    <x v="0"/>
    <x v="3"/>
    <n v="3"/>
    <n v="4100.79"/>
    <n v="3508.89"/>
    <n v="591.9"/>
    <x v="2"/>
    <n v="2025"/>
  </r>
  <r>
    <s v="ORD1379"/>
    <s v="2025-03-01"/>
    <x v="2"/>
    <x v="2"/>
    <s v="Gujarat"/>
    <x v="0"/>
    <x v="13"/>
    <x v="1"/>
    <n v="6"/>
    <n v="1836"/>
    <n v="1308"/>
    <n v="528"/>
    <x v="2"/>
    <n v="2025"/>
  </r>
  <r>
    <s v="ORD1397"/>
    <s v="2025-03-26"/>
    <x v="11"/>
    <x v="0"/>
    <s v="Assam"/>
    <x v="1"/>
    <x v="10"/>
    <x v="4"/>
    <n v="10"/>
    <n v="4408.3"/>
    <n v="3074.9"/>
    <n v="1333.4"/>
    <x v="2"/>
    <n v="2025"/>
  </r>
  <r>
    <s v="ORD1440"/>
    <s v="2025-03-16"/>
    <x v="4"/>
    <x v="1"/>
    <s v="Haryana"/>
    <x v="0"/>
    <x v="0"/>
    <x v="3"/>
    <n v="4"/>
    <n v="6496.48"/>
    <n v="4671.96"/>
    <n v="1824.52"/>
    <x v="2"/>
    <n v="2025"/>
  </r>
  <r>
    <s v="ORD1452"/>
    <s v="2025-03-29"/>
    <x v="2"/>
    <x v="2"/>
    <s v="Goa"/>
    <x v="2"/>
    <x v="12"/>
    <x v="0"/>
    <n v="2"/>
    <n v="3159.54"/>
    <n v="2417.86"/>
    <n v="741.68"/>
    <x v="2"/>
    <n v="2025"/>
  </r>
  <r>
    <s v="ORD1464"/>
    <s v="2025-03-20"/>
    <x v="1"/>
    <x v="2"/>
    <s v="Maharashtra"/>
    <x v="1"/>
    <x v="4"/>
    <x v="7"/>
    <n v="10"/>
    <n v="31051.7"/>
    <n v="19791.099999999999"/>
    <n v="11260.6"/>
    <x v="2"/>
    <n v="2025"/>
  </r>
  <r>
    <s v="ORD1468"/>
    <s v="2025-03-11"/>
    <x v="3"/>
    <x v="2"/>
    <s v="Gujarat"/>
    <x v="2"/>
    <x v="5"/>
    <x v="1"/>
    <n v="5"/>
    <n v="10278.1"/>
    <n v="7137"/>
    <n v="3141.1"/>
    <x v="2"/>
    <n v="2025"/>
  </r>
  <r>
    <s v="ORD1482"/>
    <s v="2025-03-02"/>
    <x v="11"/>
    <x v="1"/>
    <s v="Delhi"/>
    <x v="2"/>
    <x v="7"/>
    <x v="0"/>
    <n v="1"/>
    <n v="744.92"/>
    <n v="617.41"/>
    <n v="127.51"/>
    <x v="2"/>
    <n v="2025"/>
  </r>
  <r>
    <s v="ORD1495"/>
    <s v="2025-03-15"/>
    <x v="14"/>
    <x v="2"/>
    <s v="Maharashtra"/>
    <x v="2"/>
    <x v="7"/>
    <x v="7"/>
    <n v="5"/>
    <n v="1482.45"/>
    <n v="999.85"/>
    <n v="482.6"/>
    <x v="2"/>
    <n v="2025"/>
  </r>
  <r>
    <s v="ORD1497"/>
    <s v="2025-03-19"/>
    <x v="8"/>
    <x v="3"/>
    <s v="Kerala"/>
    <x v="1"/>
    <x v="4"/>
    <x v="1"/>
    <n v="3"/>
    <n v="2210.4299999999998"/>
    <n v="1840.62"/>
    <n v="369.81"/>
    <x v="2"/>
    <n v="2025"/>
  </r>
  <r>
    <s v="ORD1000"/>
    <s v="2025-04-26"/>
    <x v="10"/>
    <x v="3"/>
    <s v="Karnataka"/>
    <x v="2"/>
    <x v="8"/>
    <x v="1"/>
    <n v="4"/>
    <n v="5903.16"/>
    <n v="3981.2"/>
    <n v="1921.96"/>
    <x v="3"/>
    <n v="2025"/>
  </r>
  <r>
    <s v="ORD1014"/>
    <s v="2025-04-04"/>
    <x v="13"/>
    <x v="1"/>
    <s v="Uttar Pradesh"/>
    <x v="1"/>
    <x v="11"/>
    <x v="5"/>
    <n v="7"/>
    <n v="4677.82"/>
    <n v="3253.88"/>
    <n v="1423.94"/>
    <x v="3"/>
    <n v="2025"/>
  </r>
  <r>
    <s v="ORD1015"/>
    <s v="2025-04-04"/>
    <x v="3"/>
    <x v="3"/>
    <s v="Tamil Nadu"/>
    <x v="1"/>
    <x v="1"/>
    <x v="3"/>
    <n v="3"/>
    <n v="3165.09"/>
    <n v="2357.37"/>
    <n v="807.72"/>
    <x v="3"/>
    <n v="2025"/>
  </r>
  <r>
    <s v="ORD1020"/>
    <s v="2025-04-11"/>
    <x v="6"/>
    <x v="1"/>
    <s v="Haryana"/>
    <x v="2"/>
    <x v="5"/>
    <x v="1"/>
    <n v="3"/>
    <n v="6464.61"/>
    <n v="4587.72"/>
    <n v="1876.89"/>
    <x v="3"/>
    <n v="2025"/>
  </r>
  <r>
    <s v="ORD1043"/>
    <s v="2025-04-23"/>
    <x v="2"/>
    <x v="0"/>
    <s v="Assam"/>
    <x v="2"/>
    <x v="7"/>
    <x v="1"/>
    <n v="1"/>
    <n v="1128.3699999999999"/>
    <n v="822.29"/>
    <n v="306.08"/>
    <x v="3"/>
    <n v="2025"/>
  </r>
  <r>
    <s v="ORD1048"/>
    <s v="2025-04-04"/>
    <x v="13"/>
    <x v="2"/>
    <s v="Maharashtra"/>
    <x v="1"/>
    <x v="10"/>
    <x v="6"/>
    <n v="7"/>
    <n v="7781.41"/>
    <n v="5488.56"/>
    <n v="2292.85"/>
    <x v="3"/>
    <n v="2025"/>
  </r>
  <r>
    <s v="ORD1055"/>
    <s v="2025-04-28"/>
    <x v="15"/>
    <x v="1"/>
    <s v="Punjab"/>
    <x v="1"/>
    <x v="4"/>
    <x v="6"/>
    <n v="3"/>
    <n v="3591.75"/>
    <n v="2293.59"/>
    <n v="1298.1600000000001"/>
    <x v="3"/>
    <n v="2025"/>
  </r>
  <r>
    <s v="ORD1058"/>
    <s v="2025-04-14"/>
    <x v="5"/>
    <x v="3"/>
    <s v="Kerala"/>
    <x v="1"/>
    <x v="9"/>
    <x v="1"/>
    <n v="4"/>
    <n v="10112.56"/>
    <n v="6481.56"/>
    <n v="3631"/>
    <x v="3"/>
    <n v="2025"/>
  </r>
  <r>
    <s v="ORD1085"/>
    <s v="2025-04-30"/>
    <x v="13"/>
    <x v="3"/>
    <s v="Kerala"/>
    <x v="0"/>
    <x v="0"/>
    <x v="1"/>
    <n v="8"/>
    <n v="3389.2"/>
    <n v="2202.8000000000002"/>
    <n v="1186.4000000000001"/>
    <x v="3"/>
    <n v="2025"/>
  </r>
  <r>
    <s v="ORD1115"/>
    <s v="2025-04-20"/>
    <x v="19"/>
    <x v="2"/>
    <s v="Goa"/>
    <x v="1"/>
    <x v="10"/>
    <x v="6"/>
    <n v="1"/>
    <n v="1487.43"/>
    <n v="1274.0999999999999"/>
    <n v="213.33"/>
    <x v="3"/>
    <n v="2025"/>
  </r>
  <r>
    <s v="ORD1154"/>
    <s v="2025-04-23"/>
    <x v="5"/>
    <x v="1"/>
    <s v="Delhi"/>
    <x v="1"/>
    <x v="11"/>
    <x v="4"/>
    <n v="7"/>
    <n v="11242.49"/>
    <n v="9584.61"/>
    <n v="1657.88"/>
    <x v="3"/>
    <n v="2025"/>
  </r>
  <r>
    <s v="ORD1163"/>
    <s v="2025-04-28"/>
    <x v="17"/>
    <x v="0"/>
    <s v="Bihar"/>
    <x v="1"/>
    <x v="9"/>
    <x v="3"/>
    <n v="7"/>
    <n v="16200.45"/>
    <n v="11039.28"/>
    <n v="5161.17"/>
    <x v="3"/>
    <n v="2025"/>
  </r>
  <r>
    <s v="ORD1172"/>
    <s v="2025-04-28"/>
    <x v="2"/>
    <x v="2"/>
    <s v="Rajasthan"/>
    <x v="1"/>
    <x v="9"/>
    <x v="4"/>
    <n v="5"/>
    <n v="7298"/>
    <n v="5001.6000000000004"/>
    <n v="2296.4"/>
    <x v="3"/>
    <n v="2025"/>
  </r>
  <r>
    <s v="ORD1190"/>
    <s v="2025-04-10"/>
    <x v="14"/>
    <x v="1"/>
    <s v="Punjab"/>
    <x v="1"/>
    <x v="4"/>
    <x v="5"/>
    <n v="10"/>
    <n v="3718.5"/>
    <n v="2413"/>
    <n v="1305.5"/>
    <x v="3"/>
    <n v="2025"/>
  </r>
  <r>
    <s v="ORD1201"/>
    <s v="2025-04-30"/>
    <x v="15"/>
    <x v="1"/>
    <s v="Uttar Pradesh"/>
    <x v="0"/>
    <x v="6"/>
    <x v="3"/>
    <n v="5"/>
    <n v="5439.6"/>
    <n v="4154.6499999999996"/>
    <n v="1284.95"/>
    <x v="3"/>
    <n v="2025"/>
  </r>
  <r>
    <s v="ORD1214"/>
    <s v="2025-04-20"/>
    <x v="12"/>
    <x v="1"/>
    <s v="Punjab"/>
    <x v="0"/>
    <x v="14"/>
    <x v="3"/>
    <n v="9"/>
    <n v="12751.02"/>
    <n v="9729.9"/>
    <n v="3021.12"/>
    <x v="3"/>
    <n v="2025"/>
  </r>
  <r>
    <s v="ORD1226"/>
    <s v="2025-04-29"/>
    <x v="4"/>
    <x v="1"/>
    <s v="Delhi"/>
    <x v="2"/>
    <x v="8"/>
    <x v="6"/>
    <n v="10"/>
    <n v="20818.5"/>
    <n v="15926.1"/>
    <n v="4892.3999999999996"/>
    <x v="3"/>
    <n v="2025"/>
  </r>
  <r>
    <s v="ORD1241"/>
    <s v="2025-04-16"/>
    <x v="8"/>
    <x v="2"/>
    <s v="Maharashtra"/>
    <x v="0"/>
    <x v="14"/>
    <x v="4"/>
    <n v="4"/>
    <n v="3630.92"/>
    <n v="2709.88"/>
    <n v="921.04"/>
    <x v="3"/>
    <n v="2025"/>
  </r>
  <r>
    <s v="ORD1250"/>
    <s v="2025-04-07"/>
    <x v="12"/>
    <x v="2"/>
    <s v="Rajasthan"/>
    <x v="1"/>
    <x v="9"/>
    <x v="4"/>
    <n v="9"/>
    <n v="3571.47"/>
    <n v="2808.36"/>
    <n v="763.11"/>
    <x v="3"/>
    <n v="2025"/>
  </r>
  <r>
    <s v="ORD1258"/>
    <s v="2025-04-03"/>
    <x v="1"/>
    <x v="0"/>
    <s v="Bihar"/>
    <x v="2"/>
    <x v="12"/>
    <x v="2"/>
    <n v="2"/>
    <n v="2348.6"/>
    <n v="1797.04"/>
    <n v="551.55999999999995"/>
    <x v="3"/>
    <n v="2025"/>
  </r>
  <r>
    <s v="ORD1282"/>
    <s v="2025-04-01"/>
    <x v="17"/>
    <x v="2"/>
    <s v="Goa"/>
    <x v="2"/>
    <x v="5"/>
    <x v="7"/>
    <n v="7"/>
    <n v="9615.83"/>
    <n v="6056.19"/>
    <n v="3559.64"/>
    <x v="3"/>
    <n v="2025"/>
  </r>
  <r>
    <s v="ORD1298"/>
    <s v="2025-04-16"/>
    <x v="3"/>
    <x v="0"/>
    <s v="Assam"/>
    <x v="1"/>
    <x v="1"/>
    <x v="4"/>
    <n v="9"/>
    <n v="28345.14"/>
    <n v="17943.66"/>
    <n v="10401.48"/>
    <x v="3"/>
    <n v="2025"/>
  </r>
  <r>
    <s v="ORD1306"/>
    <s v="2025-04-13"/>
    <x v="5"/>
    <x v="1"/>
    <s v="Punjab"/>
    <x v="0"/>
    <x v="13"/>
    <x v="1"/>
    <n v="6"/>
    <n v="7648.62"/>
    <n v="4980.3599999999997"/>
    <n v="2668.26"/>
    <x v="3"/>
    <n v="2025"/>
  </r>
  <r>
    <s v="ORD1329"/>
    <s v="2025-04-25"/>
    <x v="13"/>
    <x v="1"/>
    <s v="Delhi"/>
    <x v="0"/>
    <x v="6"/>
    <x v="2"/>
    <n v="5"/>
    <n v="14046.9"/>
    <n v="8836.1"/>
    <n v="5210.8"/>
    <x v="3"/>
    <n v="2025"/>
  </r>
  <r>
    <s v="ORD1348"/>
    <s v="2025-04-01"/>
    <x v="18"/>
    <x v="1"/>
    <s v="Punjab"/>
    <x v="1"/>
    <x v="10"/>
    <x v="2"/>
    <n v="9"/>
    <n v="21514.95"/>
    <n v="14578.83"/>
    <n v="6936.12"/>
    <x v="3"/>
    <n v="2025"/>
  </r>
  <r>
    <s v="ORD1376"/>
    <s v="2025-04-14"/>
    <x v="0"/>
    <x v="2"/>
    <s v="Gujarat"/>
    <x v="2"/>
    <x v="7"/>
    <x v="3"/>
    <n v="1"/>
    <n v="1065.19"/>
    <n v="807.97"/>
    <n v="257.22000000000003"/>
    <x v="3"/>
    <n v="2025"/>
  </r>
  <r>
    <s v="ORD1401"/>
    <s v="2025-04-19"/>
    <x v="9"/>
    <x v="0"/>
    <s v="Bihar"/>
    <x v="0"/>
    <x v="13"/>
    <x v="2"/>
    <n v="9"/>
    <n v="1730.07"/>
    <n v="1127.8800000000001"/>
    <n v="602.19000000000005"/>
    <x v="3"/>
    <n v="2025"/>
  </r>
  <r>
    <s v="ORD1461"/>
    <s v="2025-04-15"/>
    <x v="7"/>
    <x v="0"/>
    <s v="West Bengal"/>
    <x v="1"/>
    <x v="9"/>
    <x v="4"/>
    <n v="3"/>
    <n v="2331.69"/>
    <n v="1458.9"/>
    <n v="872.79"/>
    <x v="3"/>
    <n v="2025"/>
  </r>
  <r>
    <s v="ORD1466"/>
    <s v="2025-04-12"/>
    <x v="18"/>
    <x v="0"/>
    <s v="Bihar"/>
    <x v="1"/>
    <x v="1"/>
    <x v="0"/>
    <n v="9"/>
    <n v="22571.19"/>
    <n v="15052.23"/>
    <n v="7518.96"/>
    <x v="3"/>
    <n v="2025"/>
  </r>
  <r>
    <s v="ORD1473"/>
    <s v="2025-04-24"/>
    <x v="7"/>
    <x v="1"/>
    <s v="Haryana"/>
    <x v="0"/>
    <x v="0"/>
    <x v="4"/>
    <n v="9"/>
    <n v="4223.34"/>
    <n v="2694.06"/>
    <n v="1529.28"/>
    <x v="3"/>
    <n v="2025"/>
  </r>
  <r>
    <s v="ORD1480"/>
    <s v="2025-04-24"/>
    <x v="8"/>
    <x v="3"/>
    <s v="Tamil Nadu"/>
    <x v="2"/>
    <x v="12"/>
    <x v="5"/>
    <n v="9"/>
    <n v="3422.52"/>
    <n v="2730.51"/>
    <n v="692.01"/>
    <x v="3"/>
    <n v="2025"/>
  </r>
  <r>
    <s v="ORD1492"/>
    <s v="2025-04-07"/>
    <x v="8"/>
    <x v="0"/>
    <s v="Odisha"/>
    <x v="1"/>
    <x v="10"/>
    <x v="7"/>
    <n v="8"/>
    <n v="8178"/>
    <n v="6415.44"/>
    <n v="1762.56"/>
    <x v="3"/>
    <n v="2025"/>
  </r>
  <r>
    <s v="ORD1016"/>
    <s v="2025-05-01"/>
    <x v="17"/>
    <x v="2"/>
    <s v="Maharashtra"/>
    <x v="1"/>
    <x v="11"/>
    <x v="4"/>
    <n v="4"/>
    <n v="4937.24"/>
    <n v="3411.76"/>
    <n v="1525.48"/>
    <x v="4"/>
    <n v="2025"/>
  </r>
  <r>
    <s v="ORD1019"/>
    <s v="2025-05-08"/>
    <x v="2"/>
    <x v="1"/>
    <s v="Punjab"/>
    <x v="1"/>
    <x v="11"/>
    <x v="7"/>
    <n v="2"/>
    <n v="4203.38"/>
    <n v="3287.72"/>
    <n v="915.66"/>
    <x v="4"/>
    <n v="2025"/>
  </r>
  <r>
    <s v="ORD1031"/>
    <s v="2025-05-26"/>
    <x v="2"/>
    <x v="1"/>
    <s v="Punjab"/>
    <x v="1"/>
    <x v="9"/>
    <x v="0"/>
    <n v="10"/>
    <n v="4101.6000000000004"/>
    <n v="2830.4"/>
    <n v="1271.2"/>
    <x v="4"/>
    <n v="2025"/>
  </r>
  <r>
    <s v="ORD1053"/>
    <s v="2025-05-11"/>
    <x v="9"/>
    <x v="0"/>
    <s v="Bihar"/>
    <x v="1"/>
    <x v="1"/>
    <x v="1"/>
    <n v="9"/>
    <n v="6647.22"/>
    <n v="4716.54"/>
    <n v="1930.68"/>
    <x v="4"/>
    <n v="2025"/>
  </r>
  <r>
    <s v="ORD1062"/>
    <s v="2025-05-24"/>
    <x v="17"/>
    <x v="0"/>
    <s v="West Bengal"/>
    <x v="1"/>
    <x v="9"/>
    <x v="4"/>
    <n v="5"/>
    <n v="14345"/>
    <n v="9311.4500000000007"/>
    <n v="5033.55"/>
    <x v="4"/>
    <n v="2025"/>
  </r>
  <r>
    <s v="ORD1067"/>
    <s v="2025-05-03"/>
    <x v="11"/>
    <x v="3"/>
    <s v="Telangana"/>
    <x v="1"/>
    <x v="10"/>
    <x v="2"/>
    <n v="4"/>
    <n v="7538.92"/>
    <n v="4860.76"/>
    <n v="2678.16"/>
    <x v="4"/>
    <n v="2025"/>
  </r>
  <r>
    <s v="ORD1071"/>
    <s v="2025-05-31"/>
    <x v="12"/>
    <x v="3"/>
    <s v="Tamil Nadu"/>
    <x v="2"/>
    <x v="12"/>
    <x v="3"/>
    <n v="9"/>
    <n v="23482.080000000002"/>
    <n v="16092.18"/>
    <n v="7389.9"/>
    <x v="4"/>
    <n v="2025"/>
  </r>
  <r>
    <s v="ORD1078"/>
    <s v="2025-05-22"/>
    <x v="2"/>
    <x v="1"/>
    <s v="Haryana"/>
    <x v="1"/>
    <x v="4"/>
    <x v="1"/>
    <n v="6"/>
    <n v="3876.24"/>
    <n v="2479.8000000000002"/>
    <n v="1396.44"/>
    <x v="4"/>
    <n v="2025"/>
  </r>
  <r>
    <s v="ORD1079"/>
    <s v="2025-05-14"/>
    <x v="1"/>
    <x v="1"/>
    <s v="Delhi"/>
    <x v="0"/>
    <x v="14"/>
    <x v="1"/>
    <n v="1"/>
    <n v="1109.93"/>
    <n v="833.91"/>
    <n v="276.02"/>
    <x v="4"/>
    <n v="2025"/>
  </r>
  <r>
    <s v="ORD1086"/>
    <s v="2025-05-24"/>
    <x v="16"/>
    <x v="2"/>
    <s v="Maharashtra"/>
    <x v="0"/>
    <x v="0"/>
    <x v="3"/>
    <n v="10"/>
    <n v="22144.9"/>
    <n v="16299.8"/>
    <n v="5845.1"/>
    <x v="4"/>
    <n v="2025"/>
  </r>
  <r>
    <s v="ORD1092"/>
    <s v="2025-05-31"/>
    <x v="15"/>
    <x v="3"/>
    <s v="Tamil Nadu"/>
    <x v="2"/>
    <x v="7"/>
    <x v="6"/>
    <n v="9"/>
    <n v="14273.73"/>
    <n v="9124.11"/>
    <n v="5149.62"/>
    <x v="4"/>
    <n v="2025"/>
  </r>
  <r>
    <s v="ORD1098"/>
    <s v="2025-05-10"/>
    <x v="7"/>
    <x v="0"/>
    <s v="West Bengal"/>
    <x v="0"/>
    <x v="6"/>
    <x v="7"/>
    <n v="2"/>
    <n v="1353.84"/>
    <n v="901.02"/>
    <n v="452.82"/>
    <x v="4"/>
    <n v="2025"/>
  </r>
  <r>
    <s v="ORD1101"/>
    <s v="2025-05-22"/>
    <x v="4"/>
    <x v="2"/>
    <s v="Goa"/>
    <x v="1"/>
    <x v="4"/>
    <x v="4"/>
    <n v="10"/>
    <n v="5352.4"/>
    <n v="4558"/>
    <n v="794.4"/>
    <x v="4"/>
    <n v="2025"/>
  </r>
  <r>
    <s v="ORD1105"/>
    <s v="2025-05-25"/>
    <x v="17"/>
    <x v="1"/>
    <s v="Uttar Pradesh"/>
    <x v="0"/>
    <x v="6"/>
    <x v="2"/>
    <n v="4"/>
    <n v="6679.88"/>
    <n v="5062.84"/>
    <n v="1617.04"/>
    <x v="4"/>
    <n v="2025"/>
  </r>
  <r>
    <s v="ORD1149"/>
    <s v="2025-05-15"/>
    <x v="10"/>
    <x v="1"/>
    <s v="Haryana"/>
    <x v="0"/>
    <x v="2"/>
    <x v="3"/>
    <n v="6"/>
    <n v="17211.18"/>
    <n v="11927.4"/>
    <n v="5283.78"/>
    <x v="4"/>
    <n v="2025"/>
  </r>
  <r>
    <s v="ORD1165"/>
    <s v="2025-05-15"/>
    <x v="17"/>
    <x v="0"/>
    <s v="Odisha"/>
    <x v="0"/>
    <x v="13"/>
    <x v="6"/>
    <n v="8"/>
    <n v="3096.96"/>
    <n v="1985.28"/>
    <n v="1111.68"/>
    <x v="4"/>
    <n v="2025"/>
  </r>
  <r>
    <s v="ORD1174"/>
    <s v="2025-05-15"/>
    <x v="3"/>
    <x v="2"/>
    <s v="Maharashtra"/>
    <x v="0"/>
    <x v="0"/>
    <x v="5"/>
    <n v="3"/>
    <n v="5633.19"/>
    <n v="3788.46"/>
    <n v="1844.73"/>
    <x v="4"/>
    <n v="2025"/>
  </r>
  <r>
    <s v="ORD1185"/>
    <s v="2025-05-10"/>
    <x v="15"/>
    <x v="0"/>
    <s v="West Bengal"/>
    <x v="1"/>
    <x v="11"/>
    <x v="5"/>
    <n v="7"/>
    <n v="9949.52"/>
    <n v="7090.16"/>
    <n v="2859.36"/>
    <x v="4"/>
    <n v="2025"/>
  </r>
  <r>
    <s v="ORD1186"/>
    <s v="2025-05-02"/>
    <x v="10"/>
    <x v="1"/>
    <s v="Delhi"/>
    <x v="1"/>
    <x v="10"/>
    <x v="6"/>
    <n v="2"/>
    <n v="760.22"/>
    <n v="575.16"/>
    <n v="185.06"/>
    <x v="4"/>
    <n v="2025"/>
  </r>
  <r>
    <s v="ORD1203"/>
    <s v="2025-05-09"/>
    <x v="4"/>
    <x v="2"/>
    <s v="Maharashtra"/>
    <x v="2"/>
    <x v="5"/>
    <x v="2"/>
    <n v="8"/>
    <n v="14634.72"/>
    <n v="9311.44"/>
    <n v="5323.28"/>
    <x v="4"/>
    <n v="2025"/>
  </r>
  <r>
    <s v="ORD1213"/>
    <s v="2025-05-29"/>
    <x v="17"/>
    <x v="0"/>
    <s v="Odisha"/>
    <x v="1"/>
    <x v="10"/>
    <x v="2"/>
    <n v="2"/>
    <n v="2098.8200000000002"/>
    <n v="1760.82"/>
    <n v="338"/>
    <x v="4"/>
    <n v="2025"/>
  </r>
  <r>
    <s v="ORD1219"/>
    <s v="2025-05-06"/>
    <x v="7"/>
    <x v="3"/>
    <s v="Telangana"/>
    <x v="2"/>
    <x v="5"/>
    <x v="4"/>
    <n v="2"/>
    <n v="1652.68"/>
    <n v="1055.08"/>
    <n v="597.6"/>
    <x v="4"/>
    <n v="2025"/>
  </r>
  <r>
    <s v="ORD1229"/>
    <s v="2025-05-08"/>
    <x v="14"/>
    <x v="0"/>
    <s v="West Bengal"/>
    <x v="1"/>
    <x v="9"/>
    <x v="3"/>
    <n v="10"/>
    <n v="7820.4"/>
    <n v="6249.9"/>
    <n v="1570.5"/>
    <x v="4"/>
    <n v="2025"/>
  </r>
  <r>
    <s v="ORD1237"/>
    <s v="2025-05-16"/>
    <x v="1"/>
    <x v="2"/>
    <s v="Maharashtra"/>
    <x v="0"/>
    <x v="2"/>
    <x v="1"/>
    <n v="7"/>
    <n v="16229.71"/>
    <n v="13002.64"/>
    <n v="3227.07"/>
    <x v="4"/>
    <n v="2025"/>
  </r>
  <r>
    <s v="ORD1264"/>
    <s v="2025-05-09"/>
    <x v="1"/>
    <x v="2"/>
    <s v="Rajasthan"/>
    <x v="2"/>
    <x v="5"/>
    <x v="6"/>
    <n v="4"/>
    <n v="992.8"/>
    <n v="818.92"/>
    <n v="173.88"/>
    <x v="4"/>
    <n v="2025"/>
  </r>
  <r>
    <s v="ORD1284"/>
    <s v="2025-05-02"/>
    <x v="5"/>
    <x v="3"/>
    <s v="Telangana"/>
    <x v="2"/>
    <x v="12"/>
    <x v="0"/>
    <n v="6"/>
    <n v="11149.92"/>
    <n v="8659.7999999999993"/>
    <n v="2490.12"/>
    <x v="4"/>
    <n v="2025"/>
  </r>
  <r>
    <s v="ORD1291"/>
    <s v="2025-05-22"/>
    <x v="4"/>
    <x v="1"/>
    <s v="Delhi"/>
    <x v="2"/>
    <x v="7"/>
    <x v="2"/>
    <n v="6"/>
    <n v="14071.32"/>
    <n v="11179.56"/>
    <n v="2891.76"/>
    <x v="4"/>
    <n v="2025"/>
  </r>
  <r>
    <s v="ORD1300"/>
    <s v="2025-05-02"/>
    <x v="7"/>
    <x v="2"/>
    <s v="Gujarat"/>
    <x v="2"/>
    <x v="12"/>
    <x v="1"/>
    <n v="6"/>
    <n v="7399.74"/>
    <n v="4892.9399999999996"/>
    <n v="2506.8000000000002"/>
    <x v="4"/>
    <n v="2025"/>
  </r>
  <r>
    <s v="ORD1303"/>
    <s v="2025-05-27"/>
    <x v="19"/>
    <x v="1"/>
    <s v="Punjab"/>
    <x v="1"/>
    <x v="1"/>
    <x v="4"/>
    <n v="8"/>
    <n v="14438.64"/>
    <n v="9208.16"/>
    <n v="5230.4799999999996"/>
    <x v="4"/>
    <n v="2025"/>
  </r>
  <r>
    <s v="ORD1311"/>
    <s v="2025-05-17"/>
    <x v="9"/>
    <x v="1"/>
    <s v="Punjab"/>
    <x v="1"/>
    <x v="11"/>
    <x v="5"/>
    <n v="2"/>
    <n v="1111.02"/>
    <n v="924.6"/>
    <n v="186.42"/>
    <x v="4"/>
    <n v="2025"/>
  </r>
  <r>
    <s v="ORD1318"/>
    <s v="2025-05-27"/>
    <x v="12"/>
    <x v="3"/>
    <s v="Kerala"/>
    <x v="0"/>
    <x v="2"/>
    <x v="5"/>
    <n v="7"/>
    <n v="14847.98"/>
    <n v="9548.91"/>
    <n v="5299.07"/>
    <x v="4"/>
    <n v="2025"/>
  </r>
  <r>
    <s v="ORD1336"/>
    <s v="2025-05-30"/>
    <x v="19"/>
    <x v="3"/>
    <s v="Telangana"/>
    <x v="2"/>
    <x v="3"/>
    <x v="2"/>
    <n v="5"/>
    <n v="9187.5"/>
    <n v="7489.7"/>
    <n v="1697.8"/>
    <x v="4"/>
    <n v="2025"/>
  </r>
  <r>
    <s v="ORD1338"/>
    <s v="2025-05-17"/>
    <x v="7"/>
    <x v="3"/>
    <s v="Kerala"/>
    <x v="2"/>
    <x v="8"/>
    <x v="3"/>
    <n v="9"/>
    <n v="19424.7"/>
    <n v="15867.54"/>
    <n v="3557.16"/>
    <x v="4"/>
    <n v="2025"/>
  </r>
  <r>
    <s v="ORD1362"/>
    <s v="2025-05-20"/>
    <x v="7"/>
    <x v="0"/>
    <s v="Bihar"/>
    <x v="1"/>
    <x v="9"/>
    <x v="1"/>
    <n v="8"/>
    <n v="12037.12"/>
    <n v="8218.9599999999991"/>
    <n v="3818.16"/>
    <x v="4"/>
    <n v="2025"/>
  </r>
  <r>
    <s v="ORD1371"/>
    <s v="2025-05-07"/>
    <x v="18"/>
    <x v="1"/>
    <s v="Haryana"/>
    <x v="0"/>
    <x v="0"/>
    <x v="2"/>
    <n v="1"/>
    <n v="2979.77"/>
    <n v="1868.61"/>
    <n v="1111.1600000000001"/>
    <x v="4"/>
    <n v="2025"/>
  </r>
  <r>
    <s v="ORD1387"/>
    <s v="2025-05-26"/>
    <x v="2"/>
    <x v="3"/>
    <s v="Kerala"/>
    <x v="1"/>
    <x v="1"/>
    <x v="5"/>
    <n v="4"/>
    <n v="9535.44"/>
    <n v="6436.04"/>
    <n v="3099.4"/>
    <x v="4"/>
    <n v="2025"/>
  </r>
  <r>
    <s v="ORD1391"/>
    <s v="2025-05-06"/>
    <x v="11"/>
    <x v="3"/>
    <s v="Karnataka"/>
    <x v="1"/>
    <x v="9"/>
    <x v="7"/>
    <n v="1"/>
    <n v="533.49"/>
    <n v="335.13"/>
    <n v="198.36"/>
    <x v="4"/>
    <n v="2025"/>
  </r>
  <r>
    <s v="ORD1395"/>
    <s v="2025-05-16"/>
    <x v="16"/>
    <x v="0"/>
    <s v="Assam"/>
    <x v="1"/>
    <x v="1"/>
    <x v="3"/>
    <n v="2"/>
    <n v="2512.64"/>
    <n v="1788.24"/>
    <n v="724.4"/>
    <x v="4"/>
    <n v="2025"/>
  </r>
  <r>
    <s v="ORD1420"/>
    <s v="2025-05-21"/>
    <x v="5"/>
    <x v="2"/>
    <s v="Rajasthan"/>
    <x v="2"/>
    <x v="7"/>
    <x v="0"/>
    <n v="1"/>
    <n v="2232.67"/>
    <n v="1532.92"/>
    <n v="699.75"/>
    <x v="4"/>
    <n v="2025"/>
  </r>
  <r>
    <s v="ORD1424"/>
    <s v="2025-05-12"/>
    <x v="16"/>
    <x v="3"/>
    <s v="Karnataka"/>
    <x v="1"/>
    <x v="1"/>
    <x v="6"/>
    <n v="8"/>
    <n v="7232.8"/>
    <n v="5825.36"/>
    <n v="1407.44"/>
    <x v="4"/>
    <n v="2025"/>
  </r>
  <r>
    <s v="ORD1463"/>
    <s v="2025-05-21"/>
    <x v="4"/>
    <x v="1"/>
    <s v="Punjab"/>
    <x v="0"/>
    <x v="2"/>
    <x v="0"/>
    <n v="8"/>
    <n v="7195.68"/>
    <n v="4850.3999999999996"/>
    <n v="2345.2800000000002"/>
    <x v="4"/>
    <n v="2025"/>
  </r>
  <r>
    <s v="ORD1465"/>
    <s v="2025-05-27"/>
    <x v="11"/>
    <x v="3"/>
    <s v="Telangana"/>
    <x v="2"/>
    <x v="3"/>
    <x v="0"/>
    <n v="8"/>
    <n v="6880.24"/>
    <n v="4419.04"/>
    <n v="2461.1999999999998"/>
    <x v="4"/>
    <n v="2025"/>
  </r>
  <r>
    <s v="ORD1469"/>
    <s v="2025-05-07"/>
    <x v="5"/>
    <x v="1"/>
    <s v="Haryana"/>
    <x v="2"/>
    <x v="5"/>
    <x v="2"/>
    <n v="10"/>
    <n v="4305.8"/>
    <n v="2780.1"/>
    <n v="1525.7"/>
    <x v="4"/>
    <n v="2025"/>
  </r>
  <r>
    <s v="ORD1478"/>
    <s v="2025-05-20"/>
    <x v="11"/>
    <x v="1"/>
    <s v="Uttar Pradesh"/>
    <x v="0"/>
    <x v="0"/>
    <x v="1"/>
    <n v="1"/>
    <n v="2721.58"/>
    <n v="1809.11"/>
    <n v="912.47"/>
    <x v="4"/>
    <n v="2025"/>
  </r>
  <r>
    <s v="ORD1005"/>
    <s v="2025-06-14"/>
    <x v="13"/>
    <x v="2"/>
    <s v="Goa"/>
    <x v="1"/>
    <x v="11"/>
    <x v="5"/>
    <n v="2"/>
    <n v="370.38"/>
    <n v="304.56"/>
    <n v="65.819999999999993"/>
    <x v="5"/>
    <n v="2025"/>
  </r>
  <r>
    <s v="ORD1038"/>
    <s v="2025-06-30"/>
    <x v="5"/>
    <x v="0"/>
    <s v="Assam"/>
    <x v="2"/>
    <x v="3"/>
    <x v="5"/>
    <n v="4"/>
    <n v="2717.28"/>
    <n v="1753.76"/>
    <n v="963.52"/>
    <x v="5"/>
    <n v="2025"/>
  </r>
  <r>
    <s v="ORD1049"/>
    <s v="2025-06-27"/>
    <x v="5"/>
    <x v="2"/>
    <s v="Rajasthan"/>
    <x v="1"/>
    <x v="9"/>
    <x v="1"/>
    <n v="6"/>
    <n v="11755.02"/>
    <n v="7419.18"/>
    <n v="4335.84"/>
    <x v="5"/>
    <n v="2025"/>
  </r>
  <r>
    <s v="ORD1102"/>
    <s v="2025-06-15"/>
    <x v="8"/>
    <x v="3"/>
    <s v="Telangana"/>
    <x v="0"/>
    <x v="6"/>
    <x v="0"/>
    <n v="8"/>
    <n v="5601.04"/>
    <n v="4639.76"/>
    <n v="961.28"/>
    <x v="5"/>
    <n v="2025"/>
  </r>
  <r>
    <s v="ORD1109"/>
    <s v="2025-06-02"/>
    <x v="8"/>
    <x v="2"/>
    <s v="Rajasthan"/>
    <x v="2"/>
    <x v="12"/>
    <x v="7"/>
    <n v="4"/>
    <n v="3924.72"/>
    <n v="2833.32"/>
    <n v="1091.4000000000001"/>
    <x v="5"/>
    <n v="2025"/>
  </r>
  <r>
    <s v="ORD1110"/>
    <s v="2025-06-20"/>
    <x v="8"/>
    <x v="1"/>
    <s v="Uttar Pradesh"/>
    <x v="0"/>
    <x v="14"/>
    <x v="7"/>
    <n v="1"/>
    <n v="2085.11"/>
    <n v="1503.37"/>
    <n v="581.74"/>
    <x v="5"/>
    <n v="2025"/>
  </r>
  <r>
    <s v="ORD1118"/>
    <s v="2025-06-05"/>
    <x v="2"/>
    <x v="2"/>
    <s v="Goa"/>
    <x v="0"/>
    <x v="6"/>
    <x v="3"/>
    <n v="8"/>
    <n v="6085.52"/>
    <n v="4757.28"/>
    <n v="1328.24"/>
    <x v="5"/>
    <n v="2025"/>
  </r>
  <r>
    <s v="ORD1123"/>
    <s v="2025-06-15"/>
    <x v="12"/>
    <x v="2"/>
    <s v="Gujarat"/>
    <x v="2"/>
    <x v="3"/>
    <x v="4"/>
    <n v="1"/>
    <n v="2738.4"/>
    <n v="1782.26"/>
    <n v="956.14"/>
    <x v="5"/>
    <n v="2025"/>
  </r>
  <r>
    <s v="ORD1126"/>
    <s v="2025-06-29"/>
    <x v="10"/>
    <x v="0"/>
    <s v="West Bengal"/>
    <x v="2"/>
    <x v="8"/>
    <x v="6"/>
    <n v="9"/>
    <n v="12036.06"/>
    <n v="7569.27"/>
    <n v="4466.79"/>
    <x v="5"/>
    <n v="2025"/>
  </r>
  <r>
    <s v="ORD1135"/>
    <s v="2025-06-08"/>
    <x v="19"/>
    <x v="3"/>
    <s v="Telangana"/>
    <x v="0"/>
    <x v="14"/>
    <x v="3"/>
    <n v="1"/>
    <n v="2613.1999999999998"/>
    <n v="1974.51"/>
    <n v="638.69000000000005"/>
    <x v="5"/>
    <n v="2025"/>
  </r>
  <r>
    <s v="ORD1138"/>
    <s v="2025-06-26"/>
    <x v="8"/>
    <x v="1"/>
    <s v="Delhi"/>
    <x v="1"/>
    <x v="11"/>
    <x v="5"/>
    <n v="10"/>
    <n v="13598.2"/>
    <n v="9037.7999999999993"/>
    <n v="4560.3999999999996"/>
    <x v="5"/>
    <n v="2025"/>
  </r>
  <r>
    <s v="ORD1159"/>
    <s v="2025-06-27"/>
    <x v="11"/>
    <x v="1"/>
    <s v="Uttar Pradesh"/>
    <x v="0"/>
    <x v="6"/>
    <x v="2"/>
    <n v="4"/>
    <n v="5038.76"/>
    <n v="4014.84"/>
    <n v="1023.92"/>
    <x v="5"/>
    <n v="2025"/>
  </r>
  <r>
    <s v="ORD1162"/>
    <s v="2025-06-06"/>
    <x v="3"/>
    <x v="1"/>
    <s v="Uttar Pradesh"/>
    <x v="0"/>
    <x v="13"/>
    <x v="7"/>
    <n v="5"/>
    <n v="3088.75"/>
    <n v="2448.65"/>
    <n v="640.1"/>
    <x v="5"/>
    <n v="2025"/>
  </r>
  <r>
    <s v="ORD1217"/>
    <s v="2025-06-06"/>
    <x v="16"/>
    <x v="3"/>
    <s v="Karnataka"/>
    <x v="2"/>
    <x v="8"/>
    <x v="2"/>
    <n v="8"/>
    <n v="19601.28"/>
    <n v="12550.72"/>
    <n v="7050.56"/>
    <x v="5"/>
    <n v="2025"/>
  </r>
  <r>
    <s v="ORD1228"/>
    <s v="2025-06-14"/>
    <x v="14"/>
    <x v="2"/>
    <s v="Rajasthan"/>
    <x v="2"/>
    <x v="8"/>
    <x v="5"/>
    <n v="8"/>
    <n v="9214.7999999999993"/>
    <n v="7733.52"/>
    <n v="1481.28"/>
    <x v="5"/>
    <n v="2025"/>
  </r>
  <r>
    <s v="ORD1253"/>
    <s v="2025-06-17"/>
    <x v="14"/>
    <x v="0"/>
    <s v="Bihar"/>
    <x v="1"/>
    <x v="11"/>
    <x v="4"/>
    <n v="3"/>
    <n v="7216.35"/>
    <n v="5209.38"/>
    <n v="2006.97"/>
    <x v="5"/>
    <n v="2025"/>
  </r>
  <r>
    <s v="ORD1255"/>
    <s v="2025-06-28"/>
    <x v="11"/>
    <x v="2"/>
    <s v="Maharashtra"/>
    <x v="2"/>
    <x v="3"/>
    <x v="0"/>
    <n v="3"/>
    <n v="6595.17"/>
    <n v="4608.57"/>
    <n v="1986.6"/>
    <x v="5"/>
    <n v="2025"/>
  </r>
  <r>
    <s v="ORD1260"/>
    <s v="2025-06-08"/>
    <x v="6"/>
    <x v="3"/>
    <s v="Kerala"/>
    <x v="2"/>
    <x v="7"/>
    <x v="7"/>
    <n v="4"/>
    <n v="3224.4"/>
    <n v="2451.36"/>
    <n v="773.04"/>
    <x v="5"/>
    <n v="2025"/>
  </r>
  <r>
    <s v="ORD1276"/>
    <s v="2025-06-25"/>
    <x v="5"/>
    <x v="0"/>
    <s v="West Bengal"/>
    <x v="1"/>
    <x v="10"/>
    <x v="6"/>
    <n v="3"/>
    <n v="8032.5"/>
    <n v="5160.8100000000004"/>
    <n v="2871.69"/>
    <x v="5"/>
    <n v="2025"/>
  </r>
  <r>
    <s v="ORD1293"/>
    <s v="2025-06-05"/>
    <x v="15"/>
    <x v="2"/>
    <s v="Rajasthan"/>
    <x v="2"/>
    <x v="5"/>
    <x v="6"/>
    <n v="3"/>
    <n v="3707.34"/>
    <n v="3137.73"/>
    <n v="569.61"/>
    <x v="5"/>
    <n v="2025"/>
  </r>
  <r>
    <s v="ORD1319"/>
    <s v="2025-06-28"/>
    <x v="10"/>
    <x v="1"/>
    <s v="Punjab"/>
    <x v="2"/>
    <x v="8"/>
    <x v="3"/>
    <n v="3"/>
    <n v="539.52"/>
    <n v="396.42"/>
    <n v="143.1"/>
    <x v="5"/>
    <n v="2025"/>
  </r>
  <r>
    <s v="ORD1321"/>
    <s v="2025-06-09"/>
    <x v="7"/>
    <x v="3"/>
    <s v="Kerala"/>
    <x v="0"/>
    <x v="2"/>
    <x v="3"/>
    <n v="5"/>
    <n v="5894.75"/>
    <n v="4107.6000000000004"/>
    <n v="1787.15"/>
    <x v="5"/>
    <n v="2025"/>
  </r>
  <r>
    <s v="ORD1327"/>
    <s v="2025-06-20"/>
    <x v="18"/>
    <x v="1"/>
    <s v="Uttar Pradesh"/>
    <x v="2"/>
    <x v="12"/>
    <x v="6"/>
    <n v="4"/>
    <n v="3995.76"/>
    <n v="2575.7600000000002"/>
    <n v="1420"/>
    <x v="5"/>
    <n v="2025"/>
  </r>
  <r>
    <s v="ORD1330"/>
    <s v="2025-06-23"/>
    <x v="16"/>
    <x v="0"/>
    <s v="Odisha"/>
    <x v="1"/>
    <x v="9"/>
    <x v="0"/>
    <n v="5"/>
    <n v="5116.1000000000004"/>
    <n v="3422.2"/>
    <n v="1693.9"/>
    <x v="5"/>
    <n v="2025"/>
  </r>
  <r>
    <s v="ORD1340"/>
    <s v="2025-06-26"/>
    <x v="11"/>
    <x v="0"/>
    <s v="West Bengal"/>
    <x v="0"/>
    <x v="13"/>
    <x v="3"/>
    <n v="4"/>
    <n v="3491.08"/>
    <n v="2435.16"/>
    <n v="1055.92"/>
    <x v="5"/>
    <n v="2025"/>
  </r>
  <r>
    <s v="ORD1346"/>
    <s v="2025-06-09"/>
    <x v="15"/>
    <x v="3"/>
    <s v="Karnataka"/>
    <x v="0"/>
    <x v="14"/>
    <x v="3"/>
    <n v="7"/>
    <n v="10609.06"/>
    <n v="8578.36"/>
    <n v="2030.7"/>
    <x v="5"/>
    <n v="2025"/>
  </r>
  <r>
    <s v="ORD1359"/>
    <s v="2025-06-13"/>
    <x v="17"/>
    <x v="2"/>
    <s v="Rajasthan"/>
    <x v="0"/>
    <x v="6"/>
    <x v="3"/>
    <n v="10"/>
    <n v="7472.1"/>
    <n v="5053.8"/>
    <n v="2418.3000000000002"/>
    <x v="5"/>
    <n v="2025"/>
  </r>
  <r>
    <s v="ORD1365"/>
    <s v="2025-06-22"/>
    <x v="5"/>
    <x v="3"/>
    <s v="Kerala"/>
    <x v="0"/>
    <x v="2"/>
    <x v="5"/>
    <n v="10"/>
    <n v="4692.7"/>
    <n v="3541.6"/>
    <n v="1151.0999999999999"/>
    <x v="5"/>
    <n v="2025"/>
  </r>
  <r>
    <s v="ORD1377"/>
    <s v="2025-06-02"/>
    <x v="15"/>
    <x v="3"/>
    <s v="Tamil Nadu"/>
    <x v="2"/>
    <x v="5"/>
    <x v="7"/>
    <n v="5"/>
    <n v="10315.15"/>
    <n v="7689.35"/>
    <n v="2625.8"/>
    <x v="5"/>
    <n v="2025"/>
  </r>
  <r>
    <s v="ORD1381"/>
    <s v="2025-06-30"/>
    <x v="11"/>
    <x v="0"/>
    <s v="Assam"/>
    <x v="2"/>
    <x v="5"/>
    <x v="5"/>
    <n v="6"/>
    <n v="12820.56"/>
    <n v="9219.9599999999991"/>
    <n v="3600.6"/>
    <x v="5"/>
    <n v="2025"/>
  </r>
  <r>
    <s v="ORD1385"/>
    <s v="2025-06-15"/>
    <x v="10"/>
    <x v="0"/>
    <s v="Odisha"/>
    <x v="1"/>
    <x v="4"/>
    <x v="7"/>
    <n v="9"/>
    <n v="11853.63"/>
    <n v="9349.4699999999993"/>
    <n v="2504.16"/>
    <x v="5"/>
    <n v="2025"/>
  </r>
  <r>
    <s v="ORD1386"/>
    <s v="2025-06-17"/>
    <x v="6"/>
    <x v="2"/>
    <s v="Maharashtra"/>
    <x v="2"/>
    <x v="3"/>
    <x v="6"/>
    <n v="9"/>
    <n v="10897.2"/>
    <n v="8711.82"/>
    <n v="2185.38"/>
    <x v="5"/>
    <n v="2025"/>
  </r>
  <r>
    <s v="ORD1403"/>
    <s v="2025-06-15"/>
    <x v="19"/>
    <x v="1"/>
    <s v="Delhi"/>
    <x v="1"/>
    <x v="11"/>
    <x v="7"/>
    <n v="10"/>
    <n v="19473.099999999999"/>
    <n v="13505.2"/>
    <n v="5967.9"/>
    <x v="5"/>
    <n v="2025"/>
  </r>
  <r>
    <s v="ORD1411"/>
    <s v="2025-06-01"/>
    <x v="8"/>
    <x v="2"/>
    <s v="Gujarat"/>
    <x v="1"/>
    <x v="4"/>
    <x v="4"/>
    <n v="5"/>
    <n v="11838.4"/>
    <n v="7603.65"/>
    <n v="4234.75"/>
    <x v="5"/>
    <n v="2025"/>
  </r>
  <r>
    <s v="ORD1414"/>
    <s v="2025-06-15"/>
    <x v="16"/>
    <x v="0"/>
    <s v="Odisha"/>
    <x v="1"/>
    <x v="11"/>
    <x v="0"/>
    <n v="9"/>
    <n v="21429.09"/>
    <n v="15789.06"/>
    <n v="5640.03"/>
    <x v="5"/>
    <n v="2025"/>
  </r>
  <r>
    <s v="ORD1426"/>
    <s v="2025-06-21"/>
    <x v="16"/>
    <x v="0"/>
    <s v="Assam"/>
    <x v="1"/>
    <x v="11"/>
    <x v="1"/>
    <n v="4"/>
    <n v="4494.8"/>
    <n v="3538.64"/>
    <n v="956.16"/>
    <x v="5"/>
    <n v="2025"/>
  </r>
  <r>
    <s v="ORD1427"/>
    <s v="2025-06-09"/>
    <x v="13"/>
    <x v="3"/>
    <s v="Karnataka"/>
    <x v="2"/>
    <x v="3"/>
    <x v="0"/>
    <n v="4"/>
    <n v="1610.28"/>
    <n v="1067.4000000000001"/>
    <n v="542.88"/>
    <x v="5"/>
    <n v="2025"/>
  </r>
  <r>
    <s v="ORD1454"/>
    <s v="2025-06-30"/>
    <x v="3"/>
    <x v="2"/>
    <s v="Goa"/>
    <x v="1"/>
    <x v="1"/>
    <x v="3"/>
    <n v="1"/>
    <n v="274.61"/>
    <n v="234.45"/>
    <n v="40.159999999999997"/>
    <x v="5"/>
    <n v="2025"/>
  </r>
  <r>
    <s v="ORD1462"/>
    <s v="2025-06-07"/>
    <x v="5"/>
    <x v="1"/>
    <s v="Punjab"/>
    <x v="0"/>
    <x v="6"/>
    <x v="7"/>
    <n v="10"/>
    <n v="17587.599999999999"/>
    <n v="14546.3"/>
    <n v="3041.3"/>
    <x v="5"/>
    <n v="2025"/>
  </r>
  <r>
    <s v="ORD1481"/>
    <s v="2025-06-15"/>
    <x v="6"/>
    <x v="3"/>
    <s v="Telangana"/>
    <x v="1"/>
    <x v="10"/>
    <x v="4"/>
    <n v="2"/>
    <n v="5481.7"/>
    <n v="3690.94"/>
    <n v="1790.76"/>
    <x v="5"/>
    <n v="2025"/>
  </r>
  <r>
    <s v="ORD1490"/>
    <s v="2025-06-16"/>
    <x v="8"/>
    <x v="2"/>
    <s v="Gujarat"/>
    <x v="1"/>
    <x v="11"/>
    <x v="4"/>
    <n v="4"/>
    <n v="1712.04"/>
    <n v="1271.8800000000001"/>
    <n v="440.16"/>
    <x v="5"/>
    <n v="2025"/>
  </r>
  <r>
    <s v="ORD1499"/>
    <s v="2025-06-29"/>
    <x v="4"/>
    <x v="1"/>
    <s v="Punjab"/>
    <x v="1"/>
    <x v="4"/>
    <x v="0"/>
    <n v="7"/>
    <n v="12183.5"/>
    <n v="8976.7999999999993"/>
    <n v="3206.7"/>
    <x v="5"/>
    <n v="2025"/>
  </r>
  <r>
    <s v="ORD1003"/>
    <s v="2025-07-19"/>
    <x v="19"/>
    <x v="0"/>
    <s v="West Bengal"/>
    <x v="2"/>
    <x v="12"/>
    <x v="5"/>
    <n v="2"/>
    <n v="3374.32"/>
    <n v="2242.56"/>
    <n v="1131.76"/>
    <x v="6"/>
    <n v="2025"/>
  </r>
  <r>
    <s v="ORD1008"/>
    <s v="2025-07-15"/>
    <x v="0"/>
    <x v="1"/>
    <s v="Uttar Pradesh"/>
    <x v="2"/>
    <x v="3"/>
    <x v="2"/>
    <n v="10"/>
    <n v="22369.200000000001"/>
    <n v="14814.9"/>
    <n v="7554.3"/>
    <x v="6"/>
    <n v="2025"/>
  </r>
  <r>
    <s v="ORD1012"/>
    <s v="2025-07-14"/>
    <x v="14"/>
    <x v="0"/>
    <s v="West Bengal"/>
    <x v="1"/>
    <x v="1"/>
    <x v="5"/>
    <n v="4"/>
    <n v="8645"/>
    <n v="5547.24"/>
    <n v="3097.76"/>
    <x v="6"/>
    <n v="2025"/>
  </r>
  <r>
    <s v="ORD1021"/>
    <s v="2025-07-04"/>
    <x v="8"/>
    <x v="2"/>
    <s v="Rajasthan"/>
    <x v="0"/>
    <x v="6"/>
    <x v="7"/>
    <n v="6"/>
    <n v="6741.36"/>
    <n v="4644.12"/>
    <n v="2097.2399999999998"/>
    <x v="6"/>
    <n v="2025"/>
  </r>
  <r>
    <s v="ORD1025"/>
    <s v="2025-07-04"/>
    <x v="0"/>
    <x v="2"/>
    <s v="Maharashtra"/>
    <x v="0"/>
    <x v="13"/>
    <x v="7"/>
    <n v="7"/>
    <n v="1813.28"/>
    <n v="1474.41"/>
    <n v="338.87"/>
    <x v="6"/>
    <n v="2025"/>
  </r>
  <r>
    <s v="ORD1026"/>
    <s v="2025-07-04"/>
    <x v="9"/>
    <x v="2"/>
    <s v="Maharashtra"/>
    <x v="0"/>
    <x v="13"/>
    <x v="1"/>
    <n v="7"/>
    <n v="15396.29"/>
    <n v="10780.28"/>
    <n v="4616.01"/>
    <x v="6"/>
    <n v="2025"/>
  </r>
  <r>
    <s v="ORD1029"/>
    <s v="2025-07-19"/>
    <x v="11"/>
    <x v="0"/>
    <s v="West Bengal"/>
    <x v="2"/>
    <x v="5"/>
    <x v="4"/>
    <n v="4"/>
    <n v="6188.64"/>
    <n v="4197.5200000000004"/>
    <n v="1991.12"/>
    <x v="6"/>
    <n v="2025"/>
  </r>
  <r>
    <s v="ORD1036"/>
    <s v="2025-07-05"/>
    <x v="7"/>
    <x v="2"/>
    <s v="Rajasthan"/>
    <x v="0"/>
    <x v="0"/>
    <x v="1"/>
    <n v="8"/>
    <n v="3027.68"/>
    <n v="2091.92"/>
    <n v="935.76"/>
    <x v="6"/>
    <n v="2025"/>
  </r>
  <r>
    <s v="ORD1056"/>
    <s v="2025-07-14"/>
    <x v="0"/>
    <x v="1"/>
    <s v="Punjab"/>
    <x v="2"/>
    <x v="5"/>
    <x v="0"/>
    <n v="3"/>
    <n v="8032.95"/>
    <n v="5401.83"/>
    <n v="2631.12"/>
    <x v="6"/>
    <n v="2025"/>
  </r>
  <r>
    <s v="ORD1060"/>
    <s v="2025-07-23"/>
    <x v="10"/>
    <x v="1"/>
    <s v="Haryana"/>
    <x v="0"/>
    <x v="0"/>
    <x v="7"/>
    <n v="10"/>
    <n v="20635.599999999999"/>
    <n v="17887.099999999999"/>
    <n v="2748.5"/>
    <x v="6"/>
    <n v="2025"/>
  </r>
  <r>
    <s v="ORD1069"/>
    <s v="2025-07-27"/>
    <x v="12"/>
    <x v="1"/>
    <s v="Haryana"/>
    <x v="2"/>
    <x v="5"/>
    <x v="2"/>
    <n v="7"/>
    <n v="16722.86"/>
    <n v="11173.12"/>
    <n v="5549.74"/>
    <x v="6"/>
    <n v="2025"/>
  </r>
  <r>
    <s v="ORD1083"/>
    <s v="2025-07-30"/>
    <x v="12"/>
    <x v="3"/>
    <s v="Tamil Nadu"/>
    <x v="1"/>
    <x v="10"/>
    <x v="7"/>
    <n v="9"/>
    <n v="23319.72"/>
    <n v="15333.21"/>
    <n v="7986.51"/>
    <x v="6"/>
    <n v="2025"/>
  </r>
  <r>
    <s v="ORD1088"/>
    <s v="2025-07-17"/>
    <x v="0"/>
    <x v="0"/>
    <s v="Odisha"/>
    <x v="2"/>
    <x v="7"/>
    <x v="4"/>
    <n v="7"/>
    <n v="7441.84"/>
    <n v="5141.1499999999996"/>
    <n v="2300.69"/>
    <x v="6"/>
    <n v="2025"/>
  </r>
  <r>
    <s v="ORD1090"/>
    <s v="2025-07-10"/>
    <x v="0"/>
    <x v="0"/>
    <s v="Odisha"/>
    <x v="2"/>
    <x v="5"/>
    <x v="0"/>
    <n v="7"/>
    <n v="1463.77"/>
    <n v="994.63"/>
    <n v="469.14"/>
    <x v="6"/>
    <n v="2025"/>
  </r>
  <r>
    <s v="ORD1093"/>
    <s v="2025-07-18"/>
    <x v="17"/>
    <x v="0"/>
    <s v="Bihar"/>
    <x v="2"/>
    <x v="8"/>
    <x v="6"/>
    <n v="1"/>
    <n v="349.28"/>
    <n v="268.86"/>
    <n v="80.42"/>
    <x v="6"/>
    <n v="2025"/>
  </r>
  <r>
    <s v="ORD1095"/>
    <s v="2025-07-19"/>
    <x v="10"/>
    <x v="3"/>
    <s v="Kerala"/>
    <x v="1"/>
    <x v="10"/>
    <x v="5"/>
    <n v="2"/>
    <n v="4922.6000000000004"/>
    <n v="3875.48"/>
    <n v="1047.1199999999999"/>
    <x v="6"/>
    <n v="2025"/>
  </r>
  <r>
    <s v="ORD1119"/>
    <s v="2025-07-06"/>
    <x v="5"/>
    <x v="0"/>
    <s v="Odisha"/>
    <x v="1"/>
    <x v="4"/>
    <x v="1"/>
    <n v="1"/>
    <n v="1576.05"/>
    <n v="1225.75"/>
    <n v="350.3"/>
    <x v="6"/>
    <n v="2025"/>
  </r>
  <r>
    <s v="ORD1120"/>
    <s v="2025-07-13"/>
    <x v="1"/>
    <x v="2"/>
    <s v="Gujarat"/>
    <x v="1"/>
    <x v="11"/>
    <x v="6"/>
    <n v="9"/>
    <n v="6613.65"/>
    <n v="5030.82"/>
    <n v="1582.83"/>
    <x v="6"/>
    <n v="2025"/>
  </r>
  <r>
    <s v="ORD1130"/>
    <s v="2025-07-05"/>
    <x v="6"/>
    <x v="3"/>
    <s v="Kerala"/>
    <x v="0"/>
    <x v="2"/>
    <x v="5"/>
    <n v="9"/>
    <n v="16294.77"/>
    <n v="10427.76"/>
    <n v="5867.01"/>
    <x v="6"/>
    <n v="2025"/>
  </r>
  <r>
    <s v="ORD1140"/>
    <s v="2025-07-06"/>
    <x v="13"/>
    <x v="1"/>
    <s v="Delhi"/>
    <x v="1"/>
    <x v="1"/>
    <x v="1"/>
    <n v="10"/>
    <n v="16435.900000000001"/>
    <n v="13510.9"/>
    <n v="2925"/>
    <x v="6"/>
    <n v="2025"/>
  </r>
  <r>
    <s v="ORD1196"/>
    <s v="2025-07-22"/>
    <x v="1"/>
    <x v="1"/>
    <s v="Punjab"/>
    <x v="1"/>
    <x v="4"/>
    <x v="5"/>
    <n v="6"/>
    <n v="4045.02"/>
    <n v="2763"/>
    <n v="1282.02"/>
    <x v="6"/>
    <n v="2025"/>
  </r>
  <r>
    <s v="ORD1212"/>
    <s v="2025-07-28"/>
    <x v="12"/>
    <x v="2"/>
    <s v="Maharashtra"/>
    <x v="1"/>
    <x v="4"/>
    <x v="1"/>
    <n v="10"/>
    <n v="5397.9"/>
    <n v="4379.3999999999996"/>
    <n v="1018.5"/>
    <x v="6"/>
    <n v="2025"/>
  </r>
  <r>
    <s v="ORD1222"/>
    <s v="2025-07-05"/>
    <x v="5"/>
    <x v="3"/>
    <s v="Telangana"/>
    <x v="2"/>
    <x v="12"/>
    <x v="3"/>
    <n v="1"/>
    <n v="469.37"/>
    <n v="395.3"/>
    <n v="74.069999999999993"/>
    <x v="6"/>
    <n v="2025"/>
  </r>
  <r>
    <s v="ORD1223"/>
    <s v="2025-07-11"/>
    <x v="7"/>
    <x v="3"/>
    <s v="Telangana"/>
    <x v="1"/>
    <x v="11"/>
    <x v="1"/>
    <n v="8"/>
    <n v="2520"/>
    <n v="1792.64"/>
    <n v="727.36"/>
    <x v="6"/>
    <n v="2025"/>
  </r>
  <r>
    <s v="ORD1234"/>
    <s v="2025-07-23"/>
    <x v="10"/>
    <x v="0"/>
    <s v="Bihar"/>
    <x v="0"/>
    <x v="0"/>
    <x v="7"/>
    <n v="7"/>
    <n v="8648.08"/>
    <n v="6919.5"/>
    <n v="1728.58"/>
    <x v="6"/>
    <n v="2025"/>
  </r>
  <r>
    <s v="ORD1235"/>
    <s v="2025-07-12"/>
    <x v="5"/>
    <x v="3"/>
    <s v="Tamil Nadu"/>
    <x v="0"/>
    <x v="0"/>
    <x v="7"/>
    <n v="10"/>
    <n v="5938.4"/>
    <n v="4328.1000000000004"/>
    <n v="1610.3"/>
    <x v="6"/>
    <n v="2025"/>
  </r>
  <r>
    <s v="ORD1242"/>
    <s v="2025-07-13"/>
    <x v="5"/>
    <x v="3"/>
    <s v="Kerala"/>
    <x v="1"/>
    <x v="10"/>
    <x v="3"/>
    <n v="6"/>
    <n v="6995.04"/>
    <n v="5729.46"/>
    <n v="1265.58"/>
    <x v="6"/>
    <n v="2025"/>
  </r>
  <r>
    <s v="ORD1274"/>
    <s v="2025-07-09"/>
    <x v="15"/>
    <x v="3"/>
    <s v="Karnataka"/>
    <x v="2"/>
    <x v="12"/>
    <x v="2"/>
    <n v="3"/>
    <n v="1870.98"/>
    <n v="1250.76"/>
    <n v="620.22"/>
    <x v="6"/>
    <n v="2025"/>
  </r>
  <r>
    <s v="ORD1277"/>
    <s v="2025-07-01"/>
    <x v="8"/>
    <x v="0"/>
    <s v="Assam"/>
    <x v="0"/>
    <x v="13"/>
    <x v="6"/>
    <n v="9"/>
    <n v="19815.93"/>
    <n v="12551.58"/>
    <n v="7264.35"/>
    <x v="6"/>
    <n v="2025"/>
  </r>
  <r>
    <s v="ORD1285"/>
    <s v="2025-07-21"/>
    <x v="1"/>
    <x v="0"/>
    <s v="Assam"/>
    <x v="1"/>
    <x v="1"/>
    <x v="2"/>
    <n v="4"/>
    <n v="6234.56"/>
    <n v="4208.68"/>
    <n v="2025.88"/>
    <x v="6"/>
    <n v="2025"/>
  </r>
  <r>
    <s v="ORD1308"/>
    <s v="2025-07-23"/>
    <x v="3"/>
    <x v="0"/>
    <s v="Bihar"/>
    <x v="2"/>
    <x v="7"/>
    <x v="0"/>
    <n v="6"/>
    <n v="891.78"/>
    <n v="630.29999999999995"/>
    <n v="261.48"/>
    <x v="6"/>
    <n v="2025"/>
  </r>
  <r>
    <s v="ORD1332"/>
    <s v="2025-07-18"/>
    <x v="8"/>
    <x v="0"/>
    <s v="Assam"/>
    <x v="0"/>
    <x v="13"/>
    <x v="0"/>
    <n v="2"/>
    <n v="1274.8599999999999"/>
    <n v="988.28"/>
    <n v="286.58"/>
    <x v="6"/>
    <n v="2025"/>
  </r>
  <r>
    <s v="ORD1333"/>
    <s v="2025-07-05"/>
    <x v="7"/>
    <x v="2"/>
    <s v="Rajasthan"/>
    <x v="2"/>
    <x v="7"/>
    <x v="7"/>
    <n v="6"/>
    <n v="8476.14"/>
    <n v="5297.76"/>
    <n v="3178.38"/>
    <x v="6"/>
    <n v="2025"/>
  </r>
  <r>
    <s v="ORD1343"/>
    <s v="2025-07-11"/>
    <x v="18"/>
    <x v="1"/>
    <s v="Haryana"/>
    <x v="1"/>
    <x v="4"/>
    <x v="6"/>
    <n v="5"/>
    <n v="10344.700000000001"/>
    <n v="7834.8"/>
    <n v="2509.9"/>
    <x v="6"/>
    <n v="2025"/>
  </r>
  <r>
    <s v="ORD1344"/>
    <s v="2025-07-23"/>
    <x v="5"/>
    <x v="0"/>
    <s v="Bihar"/>
    <x v="1"/>
    <x v="11"/>
    <x v="2"/>
    <n v="9"/>
    <n v="4748.49"/>
    <n v="3484.44"/>
    <n v="1264.05"/>
    <x v="6"/>
    <n v="2025"/>
  </r>
  <r>
    <s v="ORD1353"/>
    <s v="2025-07-31"/>
    <x v="12"/>
    <x v="0"/>
    <s v="Odisha"/>
    <x v="0"/>
    <x v="0"/>
    <x v="2"/>
    <n v="9"/>
    <n v="2866.05"/>
    <n v="2006.73"/>
    <n v="859.32"/>
    <x v="6"/>
    <n v="2025"/>
  </r>
  <r>
    <s v="ORD1367"/>
    <s v="2025-07-11"/>
    <x v="18"/>
    <x v="0"/>
    <s v="West Bengal"/>
    <x v="0"/>
    <x v="2"/>
    <x v="4"/>
    <n v="6"/>
    <n v="4051.08"/>
    <n v="3396.96"/>
    <n v="654.12"/>
    <x v="6"/>
    <n v="2025"/>
  </r>
  <r>
    <s v="ORD1373"/>
    <s v="2025-07-23"/>
    <x v="7"/>
    <x v="2"/>
    <s v="Goa"/>
    <x v="2"/>
    <x v="3"/>
    <x v="1"/>
    <n v="2"/>
    <n v="4143.84"/>
    <n v="3349.28"/>
    <n v="794.56"/>
    <x v="6"/>
    <n v="2025"/>
  </r>
  <r>
    <s v="ORD1390"/>
    <s v="2025-07-19"/>
    <x v="3"/>
    <x v="0"/>
    <s v="Assam"/>
    <x v="1"/>
    <x v="1"/>
    <x v="5"/>
    <n v="8"/>
    <n v="4705.76"/>
    <n v="4074.64"/>
    <n v="631.12"/>
    <x v="6"/>
    <n v="2025"/>
  </r>
  <r>
    <s v="ORD1412"/>
    <s v="2025-07-17"/>
    <x v="18"/>
    <x v="3"/>
    <s v="Karnataka"/>
    <x v="1"/>
    <x v="4"/>
    <x v="4"/>
    <n v="4"/>
    <n v="5963"/>
    <n v="3793.48"/>
    <n v="2169.52"/>
    <x v="6"/>
    <n v="2025"/>
  </r>
  <r>
    <s v="ORD1415"/>
    <s v="2025-07-19"/>
    <x v="9"/>
    <x v="1"/>
    <s v="Haryana"/>
    <x v="0"/>
    <x v="13"/>
    <x v="6"/>
    <n v="1"/>
    <n v="505.92"/>
    <n v="396.03"/>
    <n v="109.89"/>
    <x v="6"/>
    <n v="2025"/>
  </r>
  <r>
    <s v="ORD1434"/>
    <s v="2025-07-15"/>
    <x v="8"/>
    <x v="1"/>
    <s v="Delhi"/>
    <x v="2"/>
    <x v="12"/>
    <x v="6"/>
    <n v="5"/>
    <n v="4949.3"/>
    <n v="4141.55"/>
    <n v="807.75"/>
    <x v="6"/>
    <n v="2025"/>
  </r>
  <r>
    <s v="ORD1442"/>
    <s v="2025-07-22"/>
    <x v="6"/>
    <x v="1"/>
    <s v="Haryana"/>
    <x v="0"/>
    <x v="14"/>
    <x v="0"/>
    <n v="4"/>
    <n v="6758.36"/>
    <n v="5741.24"/>
    <n v="1017.12"/>
    <x v="6"/>
    <n v="2025"/>
  </r>
  <r>
    <s v="ORD1446"/>
    <s v="2025-07-16"/>
    <x v="16"/>
    <x v="2"/>
    <s v="Rajasthan"/>
    <x v="0"/>
    <x v="2"/>
    <x v="5"/>
    <n v="10"/>
    <n v="21127.4"/>
    <n v="13947.6"/>
    <n v="7179.8"/>
    <x v="6"/>
    <n v="2025"/>
  </r>
  <r>
    <s v="ORD1457"/>
    <s v="2025-07-02"/>
    <x v="6"/>
    <x v="1"/>
    <s v="Uttar Pradesh"/>
    <x v="2"/>
    <x v="5"/>
    <x v="3"/>
    <n v="1"/>
    <n v="352.81"/>
    <n v="226.15"/>
    <n v="126.66"/>
    <x v="6"/>
    <n v="2025"/>
  </r>
  <r>
    <s v="ORD1476"/>
    <s v="2025-07-07"/>
    <x v="13"/>
    <x v="2"/>
    <s v="Maharashtra"/>
    <x v="1"/>
    <x v="11"/>
    <x v="6"/>
    <n v="1"/>
    <n v="1486.24"/>
    <n v="1077.52"/>
    <n v="408.72"/>
    <x v="6"/>
    <n v="2025"/>
  </r>
  <r>
    <s v="ORD1477"/>
    <s v="2025-07-10"/>
    <x v="2"/>
    <x v="2"/>
    <s v="Goa"/>
    <x v="1"/>
    <x v="1"/>
    <x v="1"/>
    <n v="1"/>
    <n v="187.27"/>
    <n v="158"/>
    <n v="29.27"/>
    <x v="6"/>
    <n v="2025"/>
  </r>
  <r>
    <s v="ORD1006"/>
    <s v="2025-08-16"/>
    <x v="19"/>
    <x v="1"/>
    <s v="Uttar Pradesh"/>
    <x v="0"/>
    <x v="13"/>
    <x v="5"/>
    <n v="3"/>
    <n v="7549.38"/>
    <n v="5063.04"/>
    <n v="2486.34"/>
    <x v="7"/>
    <n v="2025"/>
  </r>
  <r>
    <s v="ORD1007"/>
    <s v="2025-08-31"/>
    <x v="13"/>
    <x v="0"/>
    <s v="Assam"/>
    <x v="0"/>
    <x v="6"/>
    <x v="3"/>
    <n v="9"/>
    <n v="7375.23"/>
    <n v="5006.88"/>
    <n v="2368.35"/>
    <x v="7"/>
    <n v="2025"/>
  </r>
  <r>
    <s v="ORD1011"/>
    <s v="2025-08-17"/>
    <x v="17"/>
    <x v="1"/>
    <s v="Haryana"/>
    <x v="2"/>
    <x v="5"/>
    <x v="7"/>
    <n v="10"/>
    <n v="18664.8"/>
    <n v="15112.1"/>
    <n v="3552.7"/>
    <x v="7"/>
    <n v="2025"/>
  </r>
  <r>
    <s v="ORD1050"/>
    <s v="2025-08-22"/>
    <x v="8"/>
    <x v="1"/>
    <s v="Haryana"/>
    <x v="1"/>
    <x v="10"/>
    <x v="6"/>
    <n v="10"/>
    <n v="23100.7"/>
    <n v="17758.599999999999"/>
    <n v="5342.1"/>
    <x v="7"/>
    <n v="2025"/>
  </r>
  <r>
    <s v="ORD1052"/>
    <s v="2025-08-09"/>
    <x v="6"/>
    <x v="2"/>
    <s v="Maharashtra"/>
    <x v="2"/>
    <x v="3"/>
    <x v="6"/>
    <n v="4"/>
    <n v="1679.2"/>
    <n v="1299.92"/>
    <n v="379.28"/>
    <x v="7"/>
    <n v="2025"/>
  </r>
  <r>
    <s v="ORD1059"/>
    <s v="2025-08-29"/>
    <x v="0"/>
    <x v="1"/>
    <s v="Uttar Pradesh"/>
    <x v="0"/>
    <x v="2"/>
    <x v="0"/>
    <n v="5"/>
    <n v="5955.55"/>
    <n v="4810.05"/>
    <n v="1145.5"/>
    <x v="7"/>
    <n v="2025"/>
  </r>
  <r>
    <s v="ORD1074"/>
    <s v="2025-08-03"/>
    <x v="10"/>
    <x v="3"/>
    <s v="Karnataka"/>
    <x v="1"/>
    <x v="10"/>
    <x v="2"/>
    <n v="2"/>
    <n v="4016.4"/>
    <n v="2597.3000000000002"/>
    <n v="1419.1"/>
    <x v="7"/>
    <n v="2025"/>
  </r>
  <r>
    <s v="ORD1081"/>
    <s v="2025-08-11"/>
    <x v="6"/>
    <x v="3"/>
    <s v="Tamil Nadu"/>
    <x v="0"/>
    <x v="0"/>
    <x v="7"/>
    <n v="2"/>
    <n v="1584.74"/>
    <n v="1198.6600000000001"/>
    <n v="386.08"/>
    <x v="7"/>
    <n v="2025"/>
  </r>
  <r>
    <s v="ORD1084"/>
    <s v="2025-08-21"/>
    <x v="5"/>
    <x v="3"/>
    <s v="Telangana"/>
    <x v="1"/>
    <x v="10"/>
    <x v="7"/>
    <n v="9"/>
    <n v="4881.33"/>
    <n v="3263.94"/>
    <n v="1617.39"/>
    <x v="7"/>
    <n v="2025"/>
  </r>
  <r>
    <s v="ORD1089"/>
    <s v="2025-08-11"/>
    <x v="11"/>
    <x v="1"/>
    <s v="Punjab"/>
    <x v="1"/>
    <x v="9"/>
    <x v="1"/>
    <n v="9"/>
    <n v="20391.39"/>
    <n v="15947.37"/>
    <n v="4444.0200000000004"/>
    <x v="7"/>
    <n v="2025"/>
  </r>
  <r>
    <s v="ORD1106"/>
    <s v="2025-08-22"/>
    <x v="15"/>
    <x v="0"/>
    <s v="Assam"/>
    <x v="0"/>
    <x v="6"/>
    <x v="3"/>
    <n v="6"/>
    <n v="8383.56"/>
    <n v="6905.28"/>
    <n v="1478.28"/>
    <x v="7"/>
    <n v="2025"/>
  </r>
  <r>
    <s v="ORD1111"/>
    <s v="2025-08-11"/>
    <x v="13"/>
    <x v="2"/>
    <s v="Rajasthan"/>
    <x v="1"/>
    <x v="11"/>
    <x v="2"/>
    <n v="4"/>
    <n v="2286.84"/>
    <n v="1456.92"/>
    <n v="829.92"/>
    <x v="7"/>
    <n v="2025"/>
  </r>
  <r>
    <s v="ORD1113"/>
    <s v="2025-08-02"/>
    <x v="0"/>
    <x v="0"/>
    <s v="West Bengal"/>
    <x v="0"/>
    <x v="0"/>
    <x v="5"/>
    <n v="3"/>
    <n v="6282.72"/>
    <n v="4589.79"/>
    <n v="1692.93"/>
    <x v="7"/>
    <n v="2025"/>
  </r>
  <r>
    <s v="ORD1141"/>
    <s v="2025-08-05"/>
    <x v="18"/>
    <x v="0"/>
    <s v="West Bengal"/>
    <x v="2"/>
    <x v="3"/>
    <x v="7"/>
    <n v="10"/>
    <n v="22950.7"/>
    <n v="17323.599999999999"/>
    <n v="5627.1"/>
    <x v="7"/>
    <n v="2025"/>
  </r>
  <r>
    <s v="ORD1144"/>
    <s v="2025-08-19"/>
    <x v="11"/>
    <x v="0"/>
    <s v="West Bengal"/>
    <x v="0"/>
    <x v="2"/>
    <x v="0"/>
    <n v="5"/>
    <n v="13634.85"/>
    <n v="9951.15"/>
    <n v="3683.7"/>
    <x v="7"/>
    <n v="2025"/>
  </r>
  <r>
    <s v="ORD1176"/>
    <s v="2025-08-07"/>
    <x v="15"/>
    <x v="0"/>
    <s v="Assam"/>
    <x v="2"/>
    <x v="7"/>
    <x v="0"/>
    <n v="2"/>
    <n v="4671.6400000000003"/>
    <n v="3460.08"/>
    <n v="1211.56"/>
    <x v="7"/>
    <n v="2025"/>
  </r>
  <r>
    <s v="ORD1195"/>
    <s v="2025-08-01"/>
    <x v="4"/>
    <x v="1"/>
    <s v="Haryana"/>
    <x v="2"/>
    <x v="8"/>
    <x v="3"/>
    <n v="1"/>
    <n v="1123.6400000000001"/>
    <n v="907.67"/>
    <n v="215.97"/>
    <x v="7"/>
    <n v="2025"/>
  </r>
  <r>
    <s v="ORD1221"/>
    <s v="2025-08-27"/>
    <x v="5"/>
    <x v="1"/>
    <s v="Haryana"/>
    <x v="2"/>
    <x v="12"/>
    <x v="6"/>
    <n v="9"/>
    <n v="8478.81"/>
    <n v="6792.39"/>
    <n v="1686.42"/>
    <x v="7"/>
    <n v="2025"/>
  </r>
  <r>
    <s v="ORD1233"/>
    <s v="2025-08-26"/>
    <x v="19"/>
    <x v="1"/>
    <s v="Punjab"/>
    <x v="2"/>
    <x v="5"/>
    <x v="3"/>
    <n v="10"/>
    <n v="25832.1"/>
    <n v="18094.099999999999"/>
    <n v="7738"/>
    <x v="7"/>
    <n v="2025"/>
  </r>
  <r>
    <s v="ORD1254"/>
    <s v="2025-08-07"/>
    <x v="11"/>
    <x v="3"/>
    <s v="Tamil Nadu"/>
    <x v="0"/>
    <x v="13"/>
    <x v="2"/>
    <n v="6"/>
    <n v="13751.22"/>
    <n v="9006.7199999999993"/>
    <n v="4744.5"/>
    <x v="7"/>
    <n v="2025"/>
  </r>
  <r>
    <s v="ORD1279"/>
    <s v="2025-08-20"/>
    <x v="7"/>
    <x v="1"/>
    <s v="Punjab"/>
    <x v="0"/>
    <x v="6"/>
    <x v="5"/>
    <n v="4"/>
    <n v="2819.36"/>
    <n v="1801.36"/>
    <n v="1018"/>
    <x v="7"/>
    <n v="2025"/>
  </r>
  <r>
    <s v="ORD1289"/>
    <s v="2025-08-06"/>
    <x v="7"/>
    <x v="3"/>
    <s v="Telangana"/>
    <x v="0"/>
    <x v="0"/>
    <x v="4"/>
    <n v="8"/>
    <n v="12240.24"/>
    <n v="8436"/>
    <n v="3804.24"/>
    <x v="7"/>
    <n v="2025"/>
  </r>
  <r>
    <s v="ORD1292"/>
    <s v="2025-08-09"/>
    <x v="15"/>
    <x v="3"/>
    <s v="Karnataka"/>
    <x v="0"/>
    <x v="0"/>
    <x v="7"/>
    <n v="5"/>
    <n v="8180.85"/>
    <n v="5174.5"/>
    <n v="3006.35"/>
    <x v="7"/>
    <n v="2025"/>
  </r>
  <r>
    <s v="ORD1310"/>
    <s v="2025-08-13"/>
    <x v="1"/>
    <x v="1"/>
    <s v="Haryana"/>
    <x v="2"/>
    <x v="3"/>
    <x v="6"/>
    <n v="4"/>
    <n v="7289.32"/>
    <n v="5851.6"/>
    <n v="1437.72"/>
    <x v="7"/>
    <n v="2025"/>
  </r>
  <r>
    <s v="ORD1351"/>
    <s v="2025-08-23"/>
    <x v="9"/>
    <x v="2"/>
    <s v="Gujarat"/>
    <x v="0"/>
    <x v="13"/>
    <x v="6"/>
    <n v="10"/>
    <n v="11107.8"/>
    <n v="7360.5"/>
    <n v="3747.3"/>
    <x v="7"/>
    <n v="2025"/>
  </r>
  <r>
    <s v="ORD1392"/>
    <s v="2025-08-09"/>
    <x v="12"/>
    <x v="2"/>
    <s v="Maharashtra"/>
    <x v="1"/>
    <x v="4"/>
    <x v="3"/>
    <n v="3"/>
    <n v="5345.55"/>
    <n v="4558.92"/>
    <n v="786.63"/>
    <x v="7"/>
    <n v="2025"/>
  </r>
  <r>
    <s v="ORD1400"/>
    <s v="2025-08-30"/>
    <x v="6"/>
    <x v="2"/>
    <s v="Rajasthan"/>
    <x v="2"/>
    <x v="12"/>
    <x v="6"/>
    <n v="9"/>
    <n v="5177.25"/>
    <n v="4104.72"/>
    <n v="1072.53"/>
    <x v="7"/>
    <n v="2025"/>
  </r>
  <r>
    <s v="ORD1413"/>
    <s v="2025-08-09"/>
    <x v="8"/>
    <x v="2"/>
    <s v="Rajasthan"/>
    <x v="2"/>
    <x v="8"/>
    <x v="3"/>
    <n v="4"/>
    <n v="10134.76"/>
    <n v="6398.32"/>
    <n v="3736.44"/>
    <x v="7"/>
    <n v="2025"/>
  </r>
  <r>
    <s v="ORD1425"/>
    <s v="2025-08-31"/>
    <x v="5"/>
    <x v="2"/>
    <s v="Maharashtra"/>
    <x v="2"/>
    <x v="8"/>
    <x v="4"/>
    <n v="5"/>
    <n v="11776.2"/>
    <n v="8159.05"/>
    <n v="3617.15"/>
    <x v="7"/>
    <n v="2025"/>
  </r>
  <r>
    <s v="ORD1441"/>
    <s v="2025-08-01"/>
    <x v="7"/>
    <x v="1"/>
    <s v="Uttar Pradesh"/>
    <x v="2"/>
    <x v="3"/>
    <x v="7"/>
    <n v="6"/>
    <n v="1655.1"/>
    <n v="1075.56"/>
    <n v="579.54"/>
    <x v="7"/>
    <n v="2025"/>
  </r>
  <r>
    <s v="ORD1450"/>
    <s v="2025-08-15"/>
    <x v="10"/>
    <x v="3"/>
    <s v="Telangana"/>
    <x v="0"/>
    <x v="2"/>
    <x v="4"/>
    <n v="6"/>
    <n v="7590.48"/>
    <n v="5177.16"/>
    <n v="2413.3200000000002"/>
    <x v="7"/>
    <n v="2025"/>
  </r>
  <r>
    <s v="ORD1451"/>
    <s v="2025-08-11"/>
    <x v="0"/>
    <x v="2"/>
    <s v="Gujarat"/>
    <x v="0"/>
    <x v="2"/>
    <x v="1"/>
    <n v="10"/>
    <n v="14013.6"/>
    <n v="11138.7"/>
    <n v="2874.9"/>
    <x v="7"/>
    <n v="2025"/>
  </r>
  <r>
    <s v="ORD1456"/>
    <s v="2025-08-29"/>
    <x v="19"/>
    <x v="0"/>
    <s v="West Bengal"/>
    <x v="2"/>
    <x v="12"/>
    <x v="5"/>
    <n v="1"/>
    <n v="1253.9100000000001"/>
    <n v="786.46"/>
    <n v="467.45"/>
    <x v="7"/>
    <n v="2025"/>
  </r>
  <r>
    <s v="ORD1496"/>
    <s v="2025-08-12"/>
    <x v="9"/>
    <x v="1"/>
    <s v="Uttar Pradesh"/>
    <x v="1"/>
    <x v="11"/>
    <x v="6"/>
    <n v="10"/>
    <n v="8568.5"/>
    <n v="5934.4"/>
    <n v="2634.1"/>
    <x v="7"/>
    <n v="2025"/>
  </r>
  <r>
    <s v="ORD1002"/>
    <s v="2025-09-26"/>
    <x v="3"/>
    <x v="3"/>
    <s v="Telangana"/>
    <x v="0"/>
    <x v="6"/>
    <x v="7"/>
    <n v="4"/>
    <n v="8899.24"/>
    <n v="6353.64"/>
    <n v="2545.6"/>
    <x v="8"/>
    <n v="2025"/>
  </r>
  <r>
    <s v="ORD1009"/>
    <s v="2025-09-25"/>
    <x v="13"/>
    <x v="2"/>
    <s v="Gujarat"/>
    <x v="0"/>
    <x v="6"/>
    <x v="7"/>
    <n v="2"/>
    <n v="4913.1400000000003"/>
    <n v="3218.04"/>
    <n v="1695.1"/>
    <x v="8"/>
    <n v="2025"/>
  </r>
  <r>
    <s v="ORD1010"/>
    <s v="2025-09-08"/>
    <x v="9"/>
    <x v="0"/>
    <s v="Assam"/>
    <x v="0"/>
    <x v="2"/>
    <x v="5"/>
    <n v="10"/>
    <n v="10699.7"/>
    <n v="7777.8"/>
    <n v="2921.9"/>
    <x v="8"/>
    <n v="2025"/>
  </r>
  <r>
    <s v="ORD1104"/>
    <s v="2025-09-21"/>
    <x v="16"/>
    <x v="1"/>
    <s v="Punjab"/>
    <x v="1"/>
    <x v="1"/>
    <x v="1"/>
    <n v="2"/>
    <n v="6094.28"/>
    <n v="3819.02"/>
    <n v="2275.2600000000002"/>
    <x v="8"/>
    <n v="2025"/>
  </r>
  <r>
    <s v="ORD1136"/>
    <s v="2025-09-30"/>
    <x v="0"/>
    <x v="0"/>
    <s v="Assam"/>
    <x v="2"/>
    <x v="12"/>
    <x v="7"/>
    <n v="3"/>
    <n v="3279.27"/>
    <n v="2726.58"/>
    <n v="552.69000000000005"/>
    <x v="8"/>
    <n v="2025"/>
  </r>
  <r>
    <s v="ORD1152"/>
    <s v="2025-09-22"/>
    <x v="14"/>
    <x v="0"/>
    <s v="Assam"/>
    <x v="0"/>
    <x v="14"/>
    <x v="6"/>
    <n v="5"/>
    <n v="3417.3"/>
    <n v="2667.85"/>
    <n v="749.45"/>
    <x v="8"/>
    <n v="2025"/>
  </r>
  <r>
    <s v="ORD1158"/>
    <s v="2025-09-29"/>
    <x v="2"/>
    <x v="2"/>
    <s v="Rajasthan"/>
    <x v="1"/>
    <x v="11"/>
    <x v="0"/>
    <n v="7"/>
    <n v="14946.82"/>
    <n v="11733.12"/>
    <n v="3213.7"/>
    <x v="8"/>
    <n v="2025"/>
  </r>
  <r>
    <s v="ORD1180"/>
    <s v="2025-09-13"/>
    <x v="17"/>
    <x v="1"/>
    <s v="Punjab"/>
    <x v="2"/>
    <x v="12"/>
    <x v="3"/>
    <n v="5"/>
    <n v="3660.15"/>
    <n v="3153.45"/>
    <n v="506.7"/>
    <x v="8"/>
    <n v="2025"/>
  </r>
  <r>
    <s v="ORD1184"/>
    <s v="2025-09-20"/>
    <x v="3"/>
    <x v="2"/>
    <s v="Maharashtra"/>
    <x v="0"/>
    <x v="6"/>
    <x v="2"/>
    <n v="9"/>
    <n v="6449.58"/>
    <n v="5341.14"/>
    <n v="1108.44"/>
    <x v="8"/>
    <n v="2025"/>
  </r>
  <r>
    <s v="ORD1188"/>
    <s v="2025-09-19"/>
    <x v="18"/>
    <x v="3"/>
    <s v="Telangana"/>
    <x v="1"/>
    <x v="9"/>
    <x v="3"/>
    <n v="9"/>
    <n v="24272.82"/>
    <n v="15288.21"/>
    <n v="8984.61"/>
    <x v="8"/>
    <n v="2025"/>
  </r>
  <r>
    <s v="ORD1202"/>
    <s v="2025-09-17"/>
    <x v="1"/>
    <x v="2"/>
    <s v="Rajasthan"/>
    <x v="2"/>
    <x v="7"/>
    <x v="3"/>
    <n v="9"/>
    <n v="5241.1499999999996"/>
    <n v="3445.47"/>
    <n v="1795.68"/>
    <x v="8"/>
    <n v="2025"/>
  </r>
  <r>
    <s v="ORD1227"/>
    <s v="2025-09-02"/>
    <x v="14"/>
    <x v="0"/>
    <s v="Bihar"/>
    <x v="2"/>
    <x v="3"/>
    <x v="4"/>
    <n v="9"/>
    <n v="4395.1499999999996"/>
    <n v="3776.67"/>
    <n v="618.48"/>
    <x v="8"/>
    <n v="2025"/>
  </r>
  <r>
    <s v="ORD1230"/>
    <s v="2025-09-16"/>
    <x v="19"/>
    <x v="2"/>
    <s v="Gujarat"/>
    <x v="2"/>
    <x v="3"/>
    <x v="0"/>
    <n v="8"/>
    <n v="4937.28"/>
    <n v="4165.04"/>
    <n v="772.24"/>
    <x v="8"/>
    <n v="2025"/>
  </r>
  <r>
    <s v="ORD1231"/>
    <s v="2025-09-11"/>
    <x v="10"/>
    <x v="1"/>
    <s v="Haryana"/>
    <x v="1"/>
    <x v="4"/>
    <x v="5"/>
    <n v="5"/>
    <n v="2388.9"/>
    <n v="1774.25"/>
    <n v="614.65"/>
    <x v="8"/>
    <n v="2025"/>
  </r>
  <r>
    <s v="ORD1232"/>
    <s v="2025-09-01"/>
    <x v="1"/>
    <x v="0"/>
    <s v="Odisha"/>
    <x v="1"/>
    <x v="1"/>
    <x v="4"/>
    <n v="7"/>
    <n v="12543.09"/>
    <n v="9783.76"/>
    <n v="2759.33"/>
    <x v="8"/>
    <n v="2025"/>
  </r>
  <r>
    <s v="ORD1251"/>
    <s v="2025-09-17"/>
    <x v="17"/>
    <x v="3"/>
    <s v="Telangana"/>
    <x v="0"/>
    <x v="14"/>
    <x v="3"/>
    <n v="4"/>
    <n v="1663.72"/>
    <n v="1298.76"/>
    <n v="364.96"/>
    <x v="8"/>
    <n v="2025"/>
  </r>
  <r>
    <s v="ORD1272"/>
    <s v="2025-09-13"/>
    <x v="14"/>
    <x v="2"/>
    <s v="Maharashtra"/>
    <x v="1"/>
    <x v="1"/>
    <x v="0"/>
    <n v="4"/>
    <n v="3445.12"/>
    <n v="2780.28"/>
    <n v="664.84"/>
    <x v="8"/>
    <n v="2025"/>
  </r>
  <r>
    <s v="ORD1275"/>
    <s v="2025-09-27"/>
    <x v="10"/>
    <x v="3"/>
    <s v="Tamil Nadu"/>
    <x v="0"/>
    <x v="14"/>
    <x v="7"/>
    <n v="10"/>
    <n v="4521.2"/>
    <n v="3099.7"/>
    <n v="1421.5"/>
    <x v="8"/>
    <n v="2025"/>
  </r>
  <r>
    <s v="ORD1305"/>
    <s v="2025-09-19"/>
    <x v="12"/>
    <x v="0"/>
    <s v="Bihar"/>
    <x v="1"/>
    <x v="9"/>
    <x v="5"/>
    <n v="9"/>
    <n v="11369.61"/>
    <n v="9569.43"/>
    <n v="1800.18"/>
    <x v="8"/>
    <n v="2025"/>
  </r>
  <r>
    <s v="ORD1307"/>
    <s v="2025-09-13"/>
    <x v="14"/>
    <x v="1"/>
    <s v="Haryana"/>
    <x v="2"/>
    <x v="5"/>
    <x v="3"/>
    <n v="2"/>
    <n v="4725.22"/>
    <n v="3945.78"/>
    <n v="779.44"/>
    <x v="8"/>
    <n v="2025"/>
  </r>
  <r>
    <s v="ORD1312"/>
    <s v="2025-09-12"/>
    <x v="3"/>
    <x v="1"/>
    <s v="Uttar Pradesh"/>
    <x v="1"/>
    <x v="11"/>
    <x v="4"/>
    <n v="5"/>
    <n v="2165.3000000000002"/>
    <n v="1406.75"/>
    <n v="758.55"/>
    <x v="8"/>
    <n v="2025"/>
  </r>
  <r>
    <s v="ORD1323"/>
    <s v="2025-09-23"/>
    <x v="16"/>
    <x v="0"/>
    <s v="Bihar"/>
    <x v="1"/>
    <x v="4"/>
    <x v="7"/>
    <n v="5"/>
    <n v="1670.2"/>
    <n v="1138.8"/>
    <n v="531.4"/>
    <x v="8"/>
    <n v="2025"/>
  </r>
  <r>
    <s v="ORD1324"/>
    <s v="2025-09-16"/>
    <x v="17"/>
    <x v="3"/>
    <s v="Kerala"/>
    <x v="2"/>
    <x v="5"/>
    <x v="0"/>
    <n v="1"/>
    <n v="2703.41"/>
    <n v="1726.85"/>
    <n v="976.56"/>
    <x v="8"/>
    <n v="2025"/>
  </r>
  <r>
    <s v="ORD1331"/>
    <s v="2025-09-16"/>
    <x v="13"/>
    <x v="2"/>
    <s v="Rajasthan"/>
    <x v="1"/>
    <x v="1"/>
    <x v="2"/>
    <n v="2"/>
    <n v="666.32"/>
    <n v="463.74"/>
    <n v="202.58"/>
    <x v="8"/>
    <n v="2025"/>
  </r>
  <r>
    <s v="ORD1369"/>
    <s v="2025-09-04"/>
    <x v="17"/>
    <x v="0"/>
    <s v="Odisha"/>
    <x v="1"/>
    <x v="4"/>
    <x v="0"/>
    <n v="9"/>
    <n v="21051.72"/>
    <n v="13720.68"/>
    <n v="7331.04"/>
    <x v="8"/>
    <n v="2025"/>
  </r>
  <r>
    <s v="ORD1378"/>
    <s v="2025-09-13"/>
    <x v="15"/>
    <x v="2"/>
    <s v="Maharashtra"/>
    <x v="0"/>
    <x v="13"/>
    <x v="7"/>
    <n v="7"/>
    <n v="8904.7000000000007"/>
    <n v="7584.71"/>
    <n v="1319.99"/>
    <x v="8"/>
    <n v="2025"/>
  </r>
  <r>
    <s v="ORD1399"/>
    <s v="2025-09-20"/>
    <x v="11"/>
    <x v="0"/>
    <s v="Odisha"/>
    <x v="0"/>
    <x v="14"/>
    <x v="1"/>
    <n v="10"/>
    <n v="20521.7"/>
    <n v="16913"/>
    <n v="3608.7"/>
    <x v="8"/>
    <n v="2025"/>
  </r>
  <r>
    <s v="ORD1418"/>
    <s v="2025-09-25"/>
    <x v="18"/>
    <x v="2"/>
    <s v="Rajasthan"/>
    <x v="1"/>
    <x v="10"/>
    <x v="0"/>
    <n v="10"/>
    <n v="12598.1"/>
    <n v="8573.7999999999993"/>
    <n v="4024.3"/>
    <x v="8"/>
    <n v="2025"/>
  </r>
  <r>
    <s v="ORD1419"/>
    <s v="2025-09-08"/>
    <x v="9"/>
    <x v="3"/>
    <s v="Kerala"/>
    <x v="2"/>
    <x v="8"/>
    <x v="2"/>
    <n v="7"/>
    <n v="9398.41"/>
    <n v="6241.55"/>
    <n v="3156.86"/>
    <x v="8"/>
    <n v="2025"/>
  </r>
  <r>
    <s v="ORD1429"/>
    <s v="2025-09-01"/>
    <x v="10"/>
    <x v="2"/>
    <s v="Goa"/>
    <x v="0"/>
    <x v="14"/>
    <x v="4"/>
    <n v="10"/>
    <n v="11771.3"/>
    <n v="9384.5"/>
    <n v="2386.8000000000002"/>
    <x v="8"/>
    <n v="2025"/>
  </r>
  <r>
    <s v="ORD1432"/>
    <s v="2025-09-02"/>
    <x v="6"/>
    <x v="0"/>
    <s v="Odisha"/>
    <x v="0"/>
    <x v="13"/>
    <x v="5"/>
    <n v="1"/>
    <n v="521.89"/>
    <n v="380.68"/>
    <n v="141.21"/>
    <x v="8"/>
    <n v="2025"/>
  </r>
  <r>
    <s v="ORD1447"/>
    <s v="2025-09-09"/>
    <x v="14"/>
    <x v="1"/>
    <s v="Delhi"/>
    <x v="0"/>
    <x v="0"/>
    <x v="5"/>
    <n v="3"/>
    <n v="9186.5400000000009"/>
    <n v="5967.09"/>
    <n v="3219.45"/>
    <x v="8"/>
    <n v="2025"/>
  </r>
  <r>
    <s v="ORD1453"/>
    <s v="2025-09-06"/>
    <x v="0"/>
    <x v="1"/>
    <s v="Delhi"/>
    <x v="1"/>
    <x v="9"/>
    <x v="2"/>
    <n v="5"/>
    <n v="5983.25"/>
    <n v="4908.6000000000004"/>
    <n v="1074.6500000000001"/>
    <x v="8"/>
    <n v="2025"/>
  </r>
  <r>
    <s v="ORD1455"/>
    <s v="2025-09-07"/>
    <x v="15"/>
    <x v="1"/>
    <s v="Haryana"/>
    <x v="0"/>
    <x v="13"/>
    <x v="2"/>
    <n v="2"/>
    <n v="1463.86"/>
    <n v="996.8"/>
    <n v="467.06"/>
    <x v="8"/>
    <n v="2025"/>
  </r>
  <r>
    <s v="ORD1470"/>
    <s v="2025-09-11"/>
    <x v="14"/>
    <x v="1"/>
    <s v="Uttar Pradesh"/>
    <x v="1"/>
    <x v="11"/>
    <x v="3"/>
    <n v="4"/>
    <n v="7659.12"/>
    <n v="5240.4799999999996"/>
    <n v="2418.64"/>
    <x v="8"/>
    <n v="2025"/>
  </r>
  <r>
    <s v="ORD1474"/>
    <s v="2025-09-04"/>
    <x v="17"/>
    <x v="2"/>
    <s v="Maharashtra"/>
    <x v="2"/>
    <x v="5"/>
    <x v="5"/>
    <n v="4"/>
    <n v="5732.76"/>
    <n v="3915.52"/>
    <n v="1817.24"/>
    <x v="8"/>
    <n v="2025"/>
  </r>
  <r>
    <s v="ORD1491"/>
    <s v="2025-09-14"/>
    <x v="6"/>
    <x v="0"/>
    <s v="West Bengal"/>
    <x v="2"/>
    <x v="7"/>
    <x v="3"/>
    <n v="6"/>
    <n v="945.78"/>
    <n v="814.44"/>
    <n v="131.34"/>
    <x v="8"/>
    <n v="2025"/>
  </r>
  <r>
    <s v="ORD1493"/>
    <s v="2025-09-21"/>
    <x v="15"/>
    <x v="0"/>
    <s v="Odisha"/>
    <x v="2"/>
    <x v="7"/>
    <x v="1"/>
    <n v="5"/>
    <n v="8078.85"/>
    <n v="6896.4"/>
    <n v="1182.45"/>
    <x v="8"/>
    <n v="2025"/>
  </r>
  <r>
    <s v="ORD1037"/>
    <s v="2025-10-28"/>
    <x v="15"/>
    <x v="1"/>
    <s v="Haryana"/>
    <x v="1"/>
    <x v="1"/>
    <x v="4"/>
    <n v="3"/>
    <n v="6625.32"/>
    <n v="4641.3599999999997"/>
    <n v="1983.96"/>
    <x v="9"/>
    <n v="2025"/>
  </r>
  <r>
    <s v="ORD1041"/>
    <s v="2025-10-28"/>
    <x v="5"/>
    <x v="0"/>
    <s v="West Bengal"/>
    <x v="2"/>
    <x v="12"/>
    <x v="2"/>
    <n v="8"/>
    <n v="9109.6"/>
    <n v="7583.12"/>
    <n v="1526.48"/>
    <x v="9"/>
    <n v="2025"/>
  </r>
  <r>
    <s v="ORD1054"/>
    <s v="2025-10-21"/>
    <x v="8"/>
    <x v="0"/>
    <s v="Bihar"/>
    <x v="1"/>
    <x v="4"/>
    <x v="6"/>
    <n v="3"/>
    <n v="5442.03"/>
    <n v="3907.59"/>
    <n v="1534.44"/>
    <x v="9"/>
    <n v="2025"/>
  </r>
  <r>
    <s v="ORD1066"/>
    <s v="2025-10-14"/>
    <x v="1"/>
    <x v="0"/>
    <s v="Odisha"/>
    <x v="0"/>
    <x v="13"/>
    <x v="1"/>
    <n v="9"/>
    <n v="2370.2399999999998"/>
    <n v="1706.22"/>
    <n v="664.02"/>
    <x v="9"/>
    <n v="2025"/>
  </r>
  <r>
    <s v="ORD1076"/>
    <s v="2025-10-09"/>
    <x v="10"/>
    <x v="0"/>
    <s v="Assam"/>
    <x v="1"/>
    <x v="9"/>
    <x v="7"/>
    <n v="9"/>
    <n v="10673.19"/>
    <n v="7171.29"/>
    <n v="3501.9"/>
    <x v="9"/>
    <n v="2025"/>
  </r>
  <r>
    <s v="ORD1100"/>
    <s v="2025-10-30"/>
    <x v="7"/>
    <x v="1"/>
    <s v="Haryana"/>
    <x v="1"/>
    <x v="1"/>
    <x v="0"/>
    <n v="2"/>
    <n v="3404.94"/>
    <n v="2145.84"/>
    <n v="1259.0999999999999"/>
    <x v="9"/>
    <n v="2025"/>
  </r>
  <r>
    <s v="ORD1124"/>
    <s v="2025-10-26"/>
    <x v="13"/>
    <x v="2"/>
    <s v="Maharashtra"/>
    <x v="1"/>
    <x v="11"/>
    <x v="7"/>
    <n v="1"/>
    <n v="1049.01"/>
    <n v="661.21"/>
    <n v="387.8"/>
    <x v="9"/>
    <n v="2025"/>
  </r>
  <r>
    <s v="ORD1125"/>
    <s v="2025-10-29"/>
    <x v="17"/>
    <x v="2"/>
    <s v="Rajasthan"/>
    <x v="2"/>
    <x v="3"/>
    <x v="2"/>
    <n v="2"/>
    <n v="4550.7"/>
    <n v="3030.36"/>
    <n v="1520.34"/>
    <x v="9"/>
    <n v="2025"/>
  </r>
  <r>
    <s v="ORD1127"/>
    <s v="2025-10-09"/>
    <x v="5"/>
    <x v="3"/>
    <s v="Karnataka"/>
    <x v="1"/>
    <x v="9"/>
    <x v="4"/>
    <n v="5"/>
    <n v="3898.6"/>
    <n v="3321.05"/>
    <n v="577.54999999999995"/>
    <x v="9"/>
    <n v="2025"/>
  </r>
  <r>
    <s v="ORD1137"/>
    <s v="2025-10-10"/>
    <x v="10"/>
    <x v="0"/>
    <s v="West Bengal"/>
    <x v="0"/>
    <x v="6"/>
    <x v="2"/>
    <n v="9"/>
    <n v="16385.04"/>
    <n v="13507.47"/>
    <n v="2877.57"/>
    <x v="9"/>
    <n v="2025"/>
  </r>
  <r>
    <s v="ORD1147"/>
    <s v="2025-10-22"/>
    <x v="16"/>
    <x v="2"/>
    <s v="Gujarat"/>
    <x v="2"/>
    <x v="3"/>
    <x v="6"/>
    <n v="8"/>
    <n v="9249.52"/>
    <n v="7135.76"/>
    <n v="2113.7600000000002"/>
    <x v="9"/>
    <n v="2025"/>
  </r>
  <r>
    <s v="ORD1161"/>
    <s v="2025-10-14"/>
    <x v="11"/>
    <x v="2"/>
    <s v="Maharashtra"/>
    <x v="2"/>
    <x v="8"/>
    <x v="5"/>
    <n v="1"/>
    <n v="260.04000000000002"/>
    <n v="167.54"/>
    <n v="92.5"/>
    <x v="9"/>
    <n v="2025"/>
  </r>
  <r>
    <s v="ORD1177"/>
    <s v="2025-10-29"/>
    <x v="5"/>
    <x v="0"/>
    <s v="Assam"/>
    <x v="2"/>
    <x v="3"/>
    <x v="7"/>
    <n v="4"/>
    <n v="4712.24"/>
    <n v="2948.32"/>
    <n v="1763.92"/>
    <x v="9"/>
    <n v="2025"/>
  </r>
  <r>
    <s v="ORD1181"/>
    <s v="2025-10-18"/>
    <x v="18"/>
    <x v="3"/>
    <s v="Kerala"/>
    <x v="2"/>
    <x v="8"/>
    <x v="2"/>
    <n v="8"/>
    <n v="15415.04"/>
    <n v="13068"/>
    <n v="2347.04"/>
    <x v="9"/>
    <n v="2025"/>
  </r>
  <r>
    <s v="ORD1198"/>
    <s v="2025-10-05"/>
    <x v="2"/>
    <x v="3"/>
    <s v="Kerala"/>
    <x v="2"/>
    <x v="5"/>
    <x v="4"/>
    <n v="4"/>
    <n v="6742.8"/>
    <n v="5257.64"/>
    <n v="1485.16"/>
    <x v="9"/>
    <n v="2025"/>
  </r>
  <r>
    <s v="ORD1199"/>
    <s v="2025-10-18"/>
    <x v="3"/>
    <x v="1"/>
    <s v="Haryana"/>
    <x v="1"/>
    <x v="9"/>
    <x v="2"/>
    <n v="8"/>
    <n v="17452.64"/>
    <n v="11269.12"/>
    <n v="6183.52"/>
    <x v="9"/>
    <n v="2025"/>
  </r>
  <r>
    <s v="ORD1208"/>
    <s v="2025-10-29"/>
    <x v="3"/>
    <x v="1"/>
    <s v="Punjab"/>
    <x v="2"/>
    <x v="7"/>
    <x v="1"/>
    <n v="7"/>
    <n v="9755.69"/>
    <n v="6828.08"/>
    <n v="2927.61"/>
    <x v="9"/>
    <n v="2025"/>
  </r>
  <r>
    <s v="ORD1220"/>
    <s v="2025-10-26"/>
    <x v="8"/>
    <x v="0"/>
    <s v="West Bengal"/>
    <x v="0"/>
    <x v="2"/>
    <x v="5"/>
    <n v="9"/>
    <n v="14541.93"/>
    <n v="11549.7"/>
    <n v="2992.23"/>
    <x v="9"/>
    <n v="2025"/>
  </r>
  <r>
    <s v="ORD1239"/>
    <s v="2025-10-26"/>
    <x v="5"/>
    <x v="0"/>
    <s v="Assam"/>
    <x v="0"/>
    <x v="14"/>
    <x v="2"/>
    <n v="3"/>
    <n v="3006.6"/>
    <n v="2240.8200000000002"/>
    <n v="765.78"/>
    <x v="9"/>
    <n v="2025"/>
  </r>
  <r>
    <s v="ORD1244"/>
    <s v="2025-10-22"/>
    <x v="0"/>
    <x v="0"/>
    <s v="Bihar"/>
    <x v="0"/>
    <x v="14"/>
    <x v="0"/>
    <n v="4"/>
    <n v="8280"/>
    <n v="6138.52"/>
    <n v="2141.48"/>
    <x v="9"/>
    <n v="2025"/>
  </r>
  <r>
    <s v="ORD1247"/>
    <s v="2025-10-21"/>
    <x v="12"/>
    <x v="1"/>
    <s v="Punjab"/>
    <x v="0"/>
    <x v="6"/>
    <x v="5"/>
    <n v="4"/>
    <n v="2488.8000000000002"/>
    <n v="1985.16"/>
    <n v="503.64"/>
    <x v="9"/>
    <n v="2025"/>
  </r>
  <r>
    <s v="ORD1256"/>
    <s v="2025-10-15"/>
    <x v="13"/>
    <x v="1"/>
    <s v="Uttar Pradesh"/>
    <x v="0"/>
    <x v="13"/>
    <x v="2"/>
    <n v="1"/>
    <n v="509.96"/>
    <n v="347.14"/>
    <n v="162.82"/>
    <x v="9"/>
    <n v="2025"/>
  </r>
  <r>
    <s v="ORD1261"/>
    <s v="2025-10-03"/>
    <x v="16"/>
    <x v="1"/>
    <s v="Haryana"/>
    <x v="2"/>
    <x v="7"/>
    <x v="0"/>
    <n v="9"/>
    <n v="17058.419999999998"/>
    <n v="13059.18"/>
    <n v="3999.24"/>
    <x v="9"/>
    <n v="2025"/>
  </r>
  <r>
    <s v="ORD1262"/>
    <s v="2025-10-14"/>
    <x v="1"/>
    <x v="0"/>
    <s v="Odisha"/>
    <x v="2"/>
    <x v="7"/>
    <x v="0"/>
    <n v="9"/>
    <n v="5886.81"/>
    <n v="5030.91"/>
    <n v="855.9"/>
    <x v="9"/>
    <n v="2025"/>
  </r>
  <r>
    <s v="ORD1263"/>
    <s v="2025-10-29"/>
    <x v="19"/>
    <x v="3"/>
    <s v="Tamil Nadu"/>
    <x v="1"/>
    <x v="9"/>
    <x v="1"/>
    <n v="6"/>
    <n v="12260.64"/>
    <n v="7822.38"/>
    <n v="4438.26"/>
    <x v="9"/>
    <n v="2025"/>
  </r>
  <r>
    <s v="ORD1268"/>
    <s v="2025-10-27"/>
    <x v="1"/>
    <x v="3"/>
    <s v="Tamil Nadu"/>
    <x v="1"/>
    <x v="11"/>
    <x v="4"/>
    <n v="3"/>
    <n v="563.82000000000005"/>
    <n v="416.16"/>
    <n v="147.66"/>
    <x v="9"/>
    <n v="2025"/>
  </r>
  <r>
    <s v="ORD1270"/>
    <s v="2025-10-21"/>
    <x v="2"/>
    <x v="0"/>
    <s v="Odisha"/>
    <x v="0"/>
    <x v="2"/>
    <x v="0"/>
    <n v="3"/>
    <n v="3241.08"/>
    <n v="2796.24"/>
    <n v="444.84"/>
    <x v="9"/>
    <n v="2025"/>
  </r>
  <r>
    <s v="ORD1280"/>
    <s v="2025-10-16"/>
    <x v="6"/>
    <x v="3"/>
    <s v="Telangana"/>
    <x v="2"/>
    <x v="12"/>
    <x v="5"/>
    <n v="2"/>
    <n v="3867.62"/>
    <n v="2681.88"/>
    <n v="1185.74"/>
    <x v="9"/>
    <n v="2025"/>
  </r>
  <r>
    <s v="ORD1288"/>
    <s v="2025-10-01"/>
    <x v="5"/>
    <x v="2"/>
    <s v="Goa"/>
    <x v="1"/>
    <x v="1"/>
    <x v="2"/>
    <n v="7"/>
    <n v="8585.7800000000007"/>
    <n v="5785.29"/>
    <n v="2800.49"/>
    <x v="9"/>
    <n v="2025"/>
  </r>
  <r>
    <s v="ORD1295"/>
    <s v="2025-10-10"/>
    <x v="19"/>
    <x v="0"/>
    <s v="Bihar"/>
    <x v="1"/>
    <x v="9"/>
    <x v="0"/>
    <n v="1"/>
    <n v="2236.4"/>
    <n v="1604.62"/>
    <n v="631.78"/>
    <x v="9"/>
    <n v="2025"/>
  </r>
  <r>
    <s v="ORD1302"/>
    <s v="2025-10-14"/>
    <x v="18"/>
    <x v="3"/>
    <s v="Telangana"/>
    <x v="0"/>
    <x v="13"/>
    <x v="2"/>
    <n v="10"/>
    <n v="24408.9"/>
    <n v="17650.400000000001"/>
    <n v="6758.5"/>
    <x v="9"/>
    <n v="2025"/>
  </r>
  <r>
    <s v="ORD1326"/>
    <s v="2025-10-26"/>
    <x v="8"/>
    <x v="2"/>
    <s v="Maharashtra"/>
    <x v="1"/>
    <x v="10"/>
    <x v="5"/>
    <n v="6"/>
    <n v="6587.94"/>
    <n v="5569.26"/>
    <n v="1018.68"/>
    <x v="9"/>
    <n v="2025"/>
  </r>
  <r>
    <s v="ORD1361"/>
    <s v="2025-10-20"/>
    <x v="13"/>
    <x v="1"/>
    <s v="Uttar Pradesh"/>
    <x v="2"/>
    <x v="3"/>
    <x v="3"/>
    <n v="9"/>
    <n v="6202.35"/>
    <n v="4847.8500000000004"/>
    <n v="1354.5"/>
    <x v="9"/>
    <n v="2025"/>
  </r>
  <r>
    <s v="ORD1363"/>
    <s v="2025-10-03"/>
    <x v="1"/>
    <x v="3"/>
    <s v="Telangana"/>
    <x v="2"/>
    <x v="7"/>
    <x v="0"/>
    <n v="5"/>
    <n v="7744.25"/>
    <n v="6583.25"/>
    <n v="1161"/>
    <x v="9"/>
    <n v="2025"/>
  </r>
  <r>
    <s v="ORD1370"/>
    <s v="2025-10-13"/>
    <x v="17"/>
    <x v="2"/>
    <s v="Rajasthan"/>
    <x v="2"/>
    <x v="8"/>
    <x v="5"/>
    <n v="10"/>
    <n v="25949.5"/>
    <n v="16554.900000000001"/>
    <n v="9394.6"/>
    <x v="9"/>
    <n v="2025"/>
  </r>
  <r>
    <s v="ORD1372"/>
    <s v="2025-10-18"/>
    <x v="19"/>
    <x v="1"/>
    <s v="Punjab"/>
    <x v="0"/>
    <x v="6"/>
    <x v="0"/>
    <n v="3"/>
    <n v="1066.47"/>
    <n v="670.08"/>
    <n v="396.39"/>
    <x v="9"/>
    <n v="2025"/>
  </r>
  <r>
    <s v="ORD1380"/>
    <s v="2025-10-15"/>
    <x v="6"/>
    <x v="0"/>
    <s v="Assam"/>
    <x v="0"/>
    <x v="6"/>
    <x v="1"/>
    <n v="2"/>
    <n v="2035.84"/>
    <n v="1301.22"/>
    <n v="734.62"/>
    <x v="9"/>
    <n v="2025"/>
  </r>
  <r>
    <s v="ORD1410"/>
    <s v="2025-10-06"/>
    <x v="19"/>
    <x v="1"/>
    <s v="Punjab"/>
    <x v="1"/>
    <x v="1"/>
    <x v="2"/>
    <n v="3"/>
    <n v="986.52"/>
    <n v="663.93"/>
    <n v="322.58999999999997"/>
    <x v="9"/>
    <n v="2025"/>
  </r>
  <r>
    <s v="ORD1421"/>
    <s v="2025-10-30"/>
    <x v="11"/>
    <x v="2"/>
    <s v="Rajasthan"/>
    <x v="0"/>
    <x v="6"/>
    <x v="5"/>
    <n v="10"/>
    <n v="4982.8"/>
    <n v="3122.3"/>
    <n v="1860.5"/>
    <x v="9"/>
    <n v="2025"/>
  </r>
  <r>
    <s v="ORD1435"/>
    <s v="2025-10-30"/>
    <x v="7"/>
    <x v="1"/>
    <s v="Haryana"/>
    <x v="1"/>
    <x v="11"/>
    <x v="3"/>
    <n v="6"/>
    <n v="4873.8"/>
    <n v="3585.36"/>
    <n v="1288.44"/>
    <x v="9"/>
    <n v="2025"/>
  </r>
  <r>
    <s v="ORD1445"/>
    <s v="2025-10-12"/>
    <x v="7"/>
    <x v="3"/>
    <s v="Kerala"/>
    <x v="2"/>
    <x v="12"/>
    <x v="7"/>
    <n v="7"/>
    <n v="17717.98"/>
    <n v="13584.62"/>
    <n v="4133.3599999999997"/>
    <x v="9"/>
    <n v="2025"/>
  </r>
  <r>
    <s v="ORD1449"/>
    <s v="2025-10-03"/>
    <x v="2"/>
    <x v="0"/>
    <s v="Assam"/>
    <x v="2"/>
    <x v="7"/>
    <x v="1"/>
    <n v="4"/>
    <n v="10652.48"/>
    <n v="7471.8"/>
    <n v="3180.68"/>
    <x v="9"/>
    <n v="2025"/>
  </r>
  <r>
    <s v="ORD1472"/>
    <s v="2025-10-05"/>
    <x v="12"/>
    <x v="1"/>
    <s v="Punjab"/>
    <x v="2"/>
    <x v="12"/>
    <x v="0"/>
    <n v="2"/>
    <n v="885.36"/>
    <n v="667.54"/>
    <n v="217.82"/>
    <x v="9"/>
    <n v="2025"/>
  </r>
  <r>
    <s v="ORD1475"/>
    <s v="2025-10-01"/>
    <x v="5"/>
    <x v="1"/>
    <s v="Punjab"/>
    <x v="2"/>
    <x v="3"/>
    <x v="3"/>
    <n v="7"/>
    <n v="18958.099999999999"/>
    <n v="11969.37"/>
    <n v="6988.73"/>
    <x v="9"/>
    <n v="2025"/>
  </r>
  <r>
    <s v="ORD1484"/>
    <s v="2025-10-24"/>
    <x v="19"/>
    <x v="1"/>
    <s v="Punjab"/>
    <x v="2"/>
    <x v="12"/>
    <x v="4"/>
    <n v="5"/>
    <n v="6869.75"/>
    <n v="5574.55"/>
    <n v="1295.2"/>
    <x v="9"/>
    <n v="2025"/>
  </r>
  <r>
    <s v="ORD1486"/>
    <s v="2025-10-12"/>
    <x v="7"/>
    <x v="1"/>
    <s v="Punjab"/>
    <x v="2"/>
    <x v="3"/>
    <x v="4"/>
    <n v="9"/>
    <n v="13701.87"/>
    <n v="11211.75"/>
    <n v="2490.12"/>
    <x v="9"/>
    <n v="2025"/>
  </r>
  <r>
    <s v="ORD1498"/>
    <s v="2025-10-23"/>
    <x v="15"/>
    <x v="3"/>
    <s v="Kerala"/>
    <x v="1"/>
    <x v="10"/>
    <x v="1"/>
    <n v="3"/>
    <n v="2597.8200000000002"/>
    <n v="1832.52"/>
    <n v="765.3"/>
    <x v="9"/>
    <n v="2025"/>
  </r>
  <r>
    <s v="ORD1017"/>
    <s v="2025-11-09"/>
    <x v="7"/>
    <x v="3"/>
    <s v="Telangana"/>
    <x v="1"/>
    <x v="4"/>
    <x v="5"/>
    <n v="4"/>
    <n v="5280"/>
    <n v="3627.4"/>
    <n v="1652.6"/>
    <x v="10"/>
    <n v="2025"/>
  </r>
  <r>
    <s v="ORD1022"/>
    <s v="2025-11-27"/>
    <x v="7"/>
    <x v="0"/>
    <s v="West Bengal"/>
    <x v="1"/>
    <x v="9"/>
    <x v="3"/>
    <n v="8"/>
    <n v="9576.8799999999992"/>
    <n v="8287.44"/>
    <n v="1289.44"/>
    <x v="10"/>
    <n v="2025"/>
  </r>
  <r>
    <s v="ORD1023"/>
    <s v="2025-11-29"/>
    <x v="1"/>
    <x v="2"/>
    <s v="Maharashtra"/>
    <x v="1"/>
    <x v="11"/>
    <x v="5"/>
    <n v="10"/>
    <n v="23596.5"/>
    <n v="19666.3"/>
    <n v="3930.2"/>
    <x v="10"/>
    <n v="2025"/>
  </r>
  <r>
    <s v="ORD1027"/>
    <s v="2025-11-08"/>
    <x v="7"/>
    <x v="2"/>
    <s v="Goa"/>
    <x v="2"/>
    <x v="8"/>
    <x v="5"/>
    <n v="2"/>
    <n v="5027.5200000000004"/>
    <n v="3221.52"/>
    <n v="1806"/>
    <x v="10"/>
    <n v="2025"/>
  </r>
  <r>
    <s v="ORD1033"/>
    <s v="2025-11-28"/>
    <x v="5"/>
    <x v="1"/>
    <s v="Delhi"/>
    <x v="1"/>
    <x v="10"/>
    <x v="4"/>
    <n v="8"/>
    <n v="15083.76"/>
    <n v="10422.959999999999"/>
    <n v="4660.8"/>
    <x v="10"/>
    <n v="2025"/>
  </r>
  <r>
    <s v="ORD1040"/>
    <s v="2025-11-16"/>
    <x v="11"/>
    <x v="1"/>
    <s v="Punjab"/>
    <x v="0"/>
    <x v="2"/>
    <x v="3"/>
    <n v="8"/>
    <n v="17410.32"/>
    <n v="15054.8"/>
    <n v="2355.52"/>
    <x v="10"/>
    <n v="2025"/>
  </r>
  <r>
    <s v="ORD1045"/>
    <s v="2025-11-16"/>
    <x v="9"/>
    <x v="1"/>
    <s v="Delhi"/>
    <x v="0"/>
    <x v="14"/>
    <x v="3"/>
    <n v="6"/>
    <n v="14428.38"/>
    <n v="10605.36"/>
    <n v="3823.02"/>
    <x v="10"/>
    <n v="2025"/>
  </r>
  <r>
    <s v="ORD1051"/>
    <s v="2025-11-16"/>
    <x v="11"/>
    <x v="1"/>
    <s v="Delhi"/>
    <x v="1"/>
    <x v="11"/>
    <x v="5"/>
    <n v="7"/>
    <n v="2319.2399999999998"/>
    <n v="1691.62"/>
    <n v="627.62"/>
    <x v="10"/>
    <n v="2025"/>
  </r>
  <r>
    <s v="ORD1057"/>
    <s v="2025-11-22"/>
    <x v="16"/>
    <x v="1"/>
    <s v="Punjab"/>
    <x v="0"/>
    <x v="14"/>
    <x v="7"/>
    <n v="5"/>
    <n v="8642.5499999999993"/>
    <n v="5650.55"/>
    <n v="2992"/>
    <x v="10"/>
    <n v="2025"/>
  </r>
  <r>
    <s v="ORD1068"/>
    <s v="2025-11-01"/>
    <x v="8"/>
    <x v="0"/>
    <s v="West Bengal"/>
    <x v="0"/>
    <x v="0"/>
    <x v="7"/>
    <n v="1"/>
    <n v="1439.5"/>
    <n v="1166.3599999999999"/>
    <n v="273.14"/>
    <x v="10"/>
    <n v="2025"/>
  </r>
  <r>
    <s v="ORD1073"/>
    <s v="2025-11-22"/>
    <x v="6"/>
    <x v="1"/>
    <s v="Haryana"/>
    <x v="1"/>
    <x v="4"/>
    <x v="6"/>
    <n v="5"/>
    <n v="5350.75"/>
    <n v="3622.75"/>
    <n v="1728"/>
    <x v="10"/>
    <n v="2025"/>
  </r>
  <r>
    <s v="ORD1077"/>
    <s v="2025-11-06"/>
    <x v="6"/>
    <x v="0"/>
    <s v="Odisha"/>
    <x v="2"/>
    <x v="7"/>
    <x v="5"/>
    <n v="2"/>
    <n v="3761.68"/>
    <n v="2594.1999999999998"/>
    <n v="1167.48"/>
    <x v="10"/>
    <n v="2025"/>
  </r>
  <r>
    <s v="ORD1096"/>
    <s v="2025-11-20"/>
    <x v="17"/>
    <x v="2"/>
    <s v="Gujarat"/>
    <x v="0"/>
    <x v="2"/>
    <x v="3"/>
    <n v="4"/>
    <n v="815.32"/>
    <n v="653.12"/>
    <n v="162.19999999999999"/>
    <x v="10"/>
    <n v="2025"/>
  </r>
  <r>
    <s v="ORD1099"/>
    <s v="2025-11-07"/>
    <x v="12"/>
    <x v="0"/>
    <s v="Bihar"/>
    <x v="2"/>
    <x v="12"/>
    <x v="6"/>
    <n v="5"/>
    <n v="5480.15"/>
    <n v="4011.55"/>
    <n v="1468.6"/>
    <x v="10"/>
    <n v="2025"/>
  </r>
  <r>
    <s v="ORD1107"/>
    <s v="2025-11-04"/>
    <x v="13"/>
    <x v="0"/>
    <s v="Odisha"/>
    <x v="0"/>
    <x v="14"/>
    <x v="2"/>
    <n v="3"/>
    <n v="1973.58"/>
    <n v="1390.17"/>
    <n v="583.41"/>
    <x v="10"/>
    <n v="2025"/>
  </r>
  <r>
    <s v="ORD1129"/>
    <s v="2025-11-14"/>
    <x v="17"/>
    <x v="2"/>
    <s v="Goa"/>
    <x v="1"/>
    <x v="4"/>
    <x v="4"/>
    <n v="9"/>
    <n v="8213.76"/>
    <n v="6342.57"/>
    <n v="1871.19"/>
    <x v="10"/>
    <n v="2025"/>
  </r>
  <r>
    <s v="ORD1142"/>
    <s v="2025-11-10"/>
    <x v="17"/>
    <x v="2"/>
    <s v="Maharashtra"/>
    <x v="0"/>
    <x v="0"/>
    <x v="0"/>
    <n v="4"/>
    <n v="728.04"/>
    <n v="602.88"/>
    <n v="125.16"/>
    <x v="10"/>
    <n v="2025"/>
  </r>
  <r>
    <s v="ORD1155"/>
    <s v="2025-11-13"/>
    <x v="17"/>
    <x v="3"/>
    <s v="Kerala"/>
    <x v="0"/>
    <x v="14"/>
    <x v="1"/>
    <n v="7"/>
    <n v="12784.73"/>
    <n v="10236.1"/>
    <n v="2548.63"/>
    <x v="10"/>
    <n v="2025"/>
  </r>
  <r>
    <s v="ORD1156"/>
    <s v="2025-11-06"/>
    <x v="13"/>
    <x v="1"/>
    <s v="Delhi"/>
    <x v="2"/>
    <x v="5"/>
    <x v="6"/>
    <n v="1"/>
    <n v="2381.9"/>
    <n v="1597.93"/>
    <n v="783.97"/>
    <x v="10"/>
    <n v="2025"/>
  </r>
  <r>
    <s v="ORD1157"/>
    <s v="2025-11-20"/>
    <x v="18"/>
    <x v="3"/>
    <s v="Tamil Nadu"/>
    <x v="1"/>
    <x v="4"/>
    <x v="1"/>
    <n v="9"/>
    <n v="25241.13"/>
    <n v="17689.77"/>
    <n v="7551.36"/>
    <x v="10"/>
    <n v="2025"/>
  </r>
  <r>
    <s v="ORD1164"/>
    <s v="2025-11-07"/>
    <x v="11"/>
    <x v="3"/>
    <s v="Kerala"/>
    <x v="0"/>
    <x v="14"/>
    <x v="5"/>
    <n v="7"/>
    <n v="11385.01"/>
    <n v="8524.39"/>
    <n v="2860.62"/>
    <x v="10"/>
    <n v="2025"/>
  </r>
  <r>
    <s v="ORD1169"/>
    <s v="2025-11-18"/>
    <x v="4"/>
    <x v="3"/>
    <s v="Tamil Nadu"/>
    <x v="0"/>
    <x v="2"/>
    <x v="3"/>
    <n v="8"/>
    <n v="15756.4"/>
    <n v="12803.84"/>
    <n v="2952.56"/>
    <x v="10"/>
    <n v="2025"/>
  </r>
  <r>
    <s v="ORD1179"/>
    <s v="2025-11-10"/>
    <x v="0"/>
    <x v="2"/>
    <s v="Rajasthan"/>
    <x v="0"/>
    <x v="2"/>
    <x v="0"/>
    <n v="5"/>
    <n v="8024"/>
    <n v="5321.65"/>
    <n v="2702.35"/>
    <x v="10"/>
    <n v="2025"/>
  </r>
  <r>
    <s v="ORD1194"/>
    <s v="2025-11-20"/>
    <x v="18"/>
    <x v="3"/>
    <s v="Telangana"/>
    <x v="0"/>
    <x v="14"/>
    <x v="4"/>
    <n v="1"/>
    <n v="2706.24"/>
    <n v="1879.71"/>
    <n v="826.53"/>
    <x v="10"/>
    <n v="2025"/>
  </r>
  <r>
    <s v="ORD1204"/>
    <s v="2025-11-03"/>
    <x v="4"/>
    <x v="3"/>
    <s v="Karnataka"/>
    <x v="2"/>
    <x v="12"/>
    <x v="6"/>
    <n v="10"/>
    <n v="2798.3"/>
    <n v="1982.3"/>
    <n v="816"/>
    <x v="10"/>
    <n v="2025"/>
  </r>
  <r>
    <s v="ORD1224"/>
    <s v="2025-11-01"/>
    <x v="11"/>
    <x v="0"/>
    <s v="Assam"/>
    <x v="2"/>
    <x v="5"/>
    <x v="7"/>
    <n v="8"/>
    <n v="9391.1200000000008"/>
    <n v="6574.24"/>
    <n v="2816.88"/>
    <x v="10"/>
    <n v="2025"/>
  </r>
  <r>
    <s v="ORD1236"/>
    <s v="2025-11-19"/>
    <x v="3"/>
    <x v="1"/>
    <s v="Punjab"/>
    <x v="1"/>
    <x v="4"/>
    <x v="7"/>
    <n v="10"/>
    <n v="6405.6"/>
    <n v="4789.7"/>
    <n v="1615.9"/>
    <x v="10"/>
    <n v="2025"/>
  </r>
  <r>
    <s v="ORD1238"/>
    <s v="2025-11-07"/>
    <x v="19"/>
    <x v="2"/>
    <s v="Rajasthan"/>
    <x v="0"/>
    <x v="0"/>
    <x v="0"/>
    <n v="7"/>
    <n v="2444.54"/>
    <n v="2106.65"/>
    <n v="337.89"/>
    <x v="10"/>
    <n v="2025"/>
  </r>
  <r>
    <s v="ORD1245"/>
    <s v="2025-11-30"/>
    <x v="11"/>
    <x v="1"/>
    <s v="Punjab"/>
    <x v="2"/>
    <x v="12"/>
    <x v="2"/>
    <n v="10"/>
    <n v="6123.3"/>
    <n v="4997.5"/>
    <n v="1125.8"/>
    <x v="10"/>
    <n v="2025"/>
  </r>
  <r>
    <s v="ORD1246"/>
    <s v="2025-11-06"/>
    <x v="10"/>
    <x v="0"/>
    <s v="West Bengal"/>
    <x v="2"/>
    <x v="8"/>
    <x v="5"/>
    <n v="1"/>
    <n v="1033.82"/>
    <n v="856.34"/>
    <n v="177.48"/>
    <x v="10"/>
    <n v="2025"/>
  </r>
  <r>
    <s v="ORD1248"/>
    <s v="2025-11-08"/>
    <x v="0"/>
    <x v="0"/>
    <s v="Assam"/>
    <x v="1"/>
    <x v="1"/>
    <x v="0"/>
    <n v="4"/>
    <n v="3953.6"/>
    <n v="3242.16"/>
    <n v="711.44"/>
    <x v="10"/>
    <n v="2025"/>
  </r>
  <r>
    <s v="ORD1278"/>
    <s v="2025-11-08"/>
    <x v="7"/>
    <x v="0"/>
    <s v="Odisha"/>
    <x v="1"/>
    <x v="1"/>
    <x v="1"/>
    <n v="8"/>
    <n v="21531.119999999999"/>
    <n v="13888.56"/>
    <n v="7642.56"/>
    <x v="10"/>
    <n v="2025"/>
  </r>
  <r>
    <s v="ORD1281"/>
    <s v="2025-11-28"/>
    <x v="3"/>
    <x v="3"/>
    <s v="Tamil Nadu"/>
    <x v="2"/>
    <x v="12"/>
    <x v="1"/>
    <n v="10"/>
    <n v="25166.9"/>
    <n v="18255.7"/>
    <n v="6911.2"/>
    <x v="10"/>
    <n v="2025"/>
  </r>
  <r>
    <s v="ORD1296"/>
    <s v="2025-11-17"/>
    <x v="4"/>
    <x v="2"/>
    <s v="Rajasthan"/>
    <x v="2"/>
    <x v="12"/>
    <x v="4"/>
    <n v="10"/>
    <n v="11629.3"/>
    <n v="8073.8"/>
    <n v="3555.5"/>
    <x v="10"/>
    <n v="2025"/>
  </r>
  <r>
    <s v="ORD1297"/>
    <s v="2025-11-09"/>
    <x v="16"/>
    <x v="0"/>
    <s v="West Bengal"/>
    <x v="1"/>
    <x v="9"/>
    <x v="4"/>
    <n v="7"/>
    <n v="9488.64"/>
    <n v="8071.49"/>
    <n v="1417.15"/>
    <x v="10"/>
    <n v="2025"/>
  </r>
  <r>
    <s v="ORD1309"/>
    <s v="2025-11-22"/>
    <x v="1"/>
    <x v="3"/>
    <s v="Kerala"/>
    <x v="2"/>
    <x v="5"/>
    <x v="3"/>
    <n v="5"/>
    <n v="7343"/>
    <n v="6290.5"/>
    <n v="1052.5"/>
    <x v="10"/>
    <n v="2025"/>
  </r>
  <r>
    <s v="ORD1325"/>
    <s v="2025-11-26"/>
    <x v="11"/>
    <x v="2"/>
    <s v="Goa"/>
    <x v="2"/>
    <x v="8"/>
    <x v="0"/>
    <n v="3"/>
    <n v="3596.1"/>
    <n v="2353.5300000000002"/>
    <n v="1242.57"/>
    <x v="10"/>
    <n v="2025"/>
  </r>
  <r>
    <s v="ORD1354"/>
    <s v="2025-11-06"/>
    <x v="13"/>
    <x v="0"/>
    <s v="Bihar"/>
    <x v="1"/>
    <x v="11"/>
    <x v="7"/>
    <n v="2"/>
    <n v="4508.68"/>
    <n v="3008.56"/>
    <n v="1500.12"/>
    <x v="10"/>
    <n v="2025"/>
  </r>
  <r>
    <s v="ORD1374"/>
    <s v="2025-11-17"/>
    <x v="2"/>
    <x v="1"/>
    <s v="Punjab"/>
    <x v="1"/>
    <x v="11"/>
    <x v="4"/>
    <n v="5"/>
    <n v="11516.8"/>
    <n v="9561.5"/>
    <n v="1955.3"/>
    <x v="10"/>
    <n v="2025"/>
  </r>
  <r>
    <s v="ORD1382"/>
    <s v="2025-11-07"/>
    <x v="7"/>
    <x v="2"/>
    <s v="Maharashtra"/>
    <x v="1"/>
    <x v="1"/>
    <x v="4"/>
    <n v="9"/>
    <n v="20678.939999999999"/>
    <n v="16977.78"/>
    <n v="3701.16"/>
    <x v="10"/>
    <n v="2025"/>
  </r>
  <r>
    <s v="ORD1388"/>
    <s v="2025-11-09"/>
    <x v="18"/>
    <x v="3"/>
    <s v="Karnataka"/>
    <x v="1"/>
    <x v="4"/>
    <x v="2"/>
    <n v="8"/>
    <n v="16361.52"/>
    <n v="12900.64"/>
    <n v="3460.88"/>
    <x v="10"/>
    <n v="2025"/>
  </r>
  <r>
    <s v="ORD1407"/>
    <s v="2025-11-15"/>
    <x v="18"/>
    <x v="1"/>
    <s v="Delhi"/>
    <x v="0"/>
    <x v="13"/>
    <x v="7"/>
    <n v="9"/>
    <n v="1856.52"/>
    <n v="1508.76"/>
    <n v="347.76"/>
    <x v="10"/>
    <n v="2025"/>
  </r>
  <r>
    <s v="ORD1416"/>
    <s v="2025-11-23"/>
    <x v="7"/>
    <x v="2"/>
    <s v="Gujarat"/>
    <x v="1"/>
    <x v="1"/>
    <x v="5"/>
    <n v="4"/>
    <n v="6751.32"/>
    <n v="4523.68"/>
    <n v="2227.64"/>
    <x v="10"/>
    <n v="2025"/>
  </r>
  <r>
    <s v="ORD1428"/>
    <s v="2025-11-20"/>
    <x v="0"/>
    <x v="3"/>
    <s v="Kerala"/>
    <x v="0"/>
    <x v="6"/>
    <x v="1"/>
    <n v="7"/>
    <n v="16899.259999999998"/>
    <n v="12306.28"/>
    <n v="4592.9799999999996"/>
    <x v="10"/>
    <n v="2025"/>
  </r>
  <r>
    <s v="ORD1430"/>
    <s v="2025-11-07"/>
    <x v="12"/>
    <x v="0"/>
    <s v="Assam"/>
    <x v="2"/>
    <x v="7"/>
    <x v="6"/>
    <n v="10"/>
    <n v="15827.1"/>
    <n v="10843.1"/>
    <n v="4984"/>
    <x v="10"/>
    <n v="2025"/>
  </r>
  <r>
    <s v="ORD1448"/>
    <s v="2025-11-24"/>
    <x v="1"/>
    <x v="0"/>
    <s v="Odisha"/>
    <x v="2"/>
    <x v="3"/>
    <x v="6"/>
    <n v="7"/>
    <n v="6912.01"/>
    <n v="5335.96"/>
    <n v="1576.05"/>
    <x v="10"/>
    <n v="2025"/>
  </r>
  <r>
    <s v="ORD1458"/>
    <s v="2025-11-19"/>
    <x v="8"/>
    <x v="1"/>
    <s v="Punjab"/>
    <x v="2"/>
    <x v="12"/>
    <x v="7"/>
    <n v="3"/>
    <n v="4764.78"/>
    <n v="3965.37"/>
    <n v="799.41"/>
    <x v="10"/>
    <n v="2025"/>
  </r>
  <r>
    <s v="ORD1460"/>
    <s v="2025-11-24"/>
    <x v="12"/>
    <x v="2"/>
    <s v="Rajasthan"/>
    <x v="0"/>
    <x v="14"/>
    <x v="1"/>
    <n v="5"/>
    <n v="3029.1"/>
    <n v="2623.5"/>
    <n v="405.6"/>
    <x v="10"/>
    <n v="2025"/>
  </r>
  <r>
    <s v="ORD1004"/>
    <s v="2025-12-04"/>
    <x v="11"/>
    <x v="0"/>
    <s v="Odisha"/>
    <x v="0"/>
    <x v="0"/>
    <x v="4"/>
    <n v="3"/>
    <n v="5638.95"/>
    <n v="4626.2700000000004"/>
    <n v="1012.68"/>
    <x v="11"/>
    <n v="2025"/>
  </r>
  <r>
    <s v="ORD1028"/>
    <s v="2025-12-11"/>
    <x v="19"/>
    <x v="1"/>
    <s v="Punjab"/>
    <x v="1"/>
    <x v="4"/>
    <x v="3"/>
    <n v="1"/>
    <n v="595.83000000000004"/>
    <n v="448.19"/>
    <n v="147.63999999999999"/>
    <x v="11"/>
    <n v="2025"/>
  </r>
  <r>
    <s v="ORD1034"/>
    <s v="2025-12-29"/>
    <x v="8"/>
    <x v="3"/>
    <s v="Telangana"/>
    <x v="1"/>
    <x v="10"/>
    <x v="6"/>
    <n v="5"/>
    <n v="7846.6"/>
    <n v="5362.15"/>
    <n v="2484.4499999999998"/>
    <x v="11"/>
    <n v="2025"/>
  </r>
  <r>
    <s v="ORD1035"/>
    <s v="2025-12-17"/>
    <x v="10"/>
    <x v="2"/>
    <s v="Rajasthan"/>
    <x v="1"/>
    <x v="10"/>
    <x v="1"/>
    <n v="7"/>
    <n v="7226.03"/>
    <n v="6227.9"/>
    <n v="998.13"/>
    <x v="11"/>
    <n v="2025"/>
  </r>
  <r>
    <s v="ORD1042"/>
    <s v="2025-12-23"/>
    <x v="6"/>
    <x v="0"/>
    <s v="Bihar"/>
    <x v="0"/>
    <x v="0"/>
    <x v="2"/>
    <n v="4"/>
    <n v="8705.52"/>
    <n v="5566.56"/>
    <n v="3138.96"/>
    <x v="11"/>
    <n v="2025"/>
  </r>
  <r>
    <s v="ORD1044"/>
    <s v="2025-12-02"/>
    <x v="2"/>
    <x v="0"/>
    <s v="West Bengal"/>
    <x v="0"/>
    <x v="13"/>
    <x v="6"/>
    <n v="10"/>
    <n v="7837.2"/>
    <n v="4951.5"/>
    <n v="2885.7"/>
    <x v="11"/>
    <n v="2025"/>
  </r>
  <r>
    <s v="ORD1080"/>
    <s v="2025-12-10"/>
    <x v="7"/>
    <x v="2"/>
    <s v="Maharashtra"/>
    <x v="1"/>
    <x v="11"/>
    <x v="2"/>
    <n v="2"/>
    <n v="3337.3"/>
    <n v="2176.4"/>
    <n v="1160.9000000000001"/>
    <x v="11"/>
    <n v="2025"/>
  </r>
  <r>
    <s v="ORD1122"/>
    <s v="2025-12-05"/>
    <x v="19"/>
    <x v="3"/>
    <s v="Telangana"/>
    <x v="0"/>
    <x v="6"/>
    <x v="6"/>
    <n v="6"/>
    <n v="9319.86"/>
    <n v="6969.72"/>
    <n v="2350.14"/>
    <x v="11"/>
    <n v="2025"/>
  </r>
  <r>
    <s v="ORD1131"/>
    <s v="2025-12-26"/>
    <x v="2"/>
    <x v="0"/>
    <s v="Odisha"/>
    <x v="1"/>
    <x v="4"/>
    <x v="7"/>
    <n v="5"/>
    <n v="1016.45"/>
    <n v="873.65"/>
    <n v="142.80000000000001"/>
    <x v="11"/>
    <n v="2025"/>
  </r>
  <r>
    <s v="ORD1139"/>
    <s v="2025-12-31"/>
    <x v="2"/>
    <x v="0"/>
    <s v="Bihar"/>
    <x v="0"/>
    <x v="13"/>
    <x v="0"/>
    <n v="5"/>
    <n v="9722.6"/>
    <n v="7057.75"/>
    <n v="2664.85"/>
    <x v="11"/>
    <n v="2025"/>
  </r>
  <r>
    <s v="ORD1151"/>
    <s v="2025-12-21"/>
    <x v="17"/>
    <x v="2"/>
    <s v="Gujarat"/>
    <x v="1"/>
    <x v="10"/>
    <x v="0"/>
    <n v="6"/>
    <n v="4260.4799999999996"/>
    <n v="2986.5"/>
    <n v="1273.98"/>
    <x v="11"/>
    <n v="2025"/>
  </r>
  <r>
    <s v="ORD1167"/>
    <s v="2025-12-24"/>
    <x v="5"/>
    <x v="3"/>
    <s v="Telangana"/>
    <x v="0"/>
    <x v="0"/>
    <x v="6"/>
    <n v="5"/>
    <n v="12373.9"/>
    <n v="9131.5"/>
    <n v="3242.4"/>
    <x v="11"/>
    <n v="2025"/>
  </r>
  <r>
    <s v="ORD1182"/>
    <s v="2025-12-06"/>
    <x v="7"/>
    <x v="2"/>
    <s v="Goa"/>
    <x v="1"/>
    <x v="10"/>
    <x v="6"/>
    <n v="3"/>
    <n v="7132.11"/>
    <n v="4830.93"/>
    <n v="2301.1799999999998"/>
    <x v="11"/>
    <n v="2025"/>
  </r>
  <r>
    <s v="ORD1197"/>
    <s v="2025-12-20"/>
    <x v="16"/>
    <x v="1"/>
    <s v="Haryana"/>
    <x v="2"/>
    <x v="3"/>
    <x v="7"/>
    <n v="9"/>
    <n v="16476.21"/>
    <n v="13870.8"/>
    <n v="2605.41"/>
    <x v="11"/>
    <n v="2025"/>
  </r>
  <r>
    <s v="ORD1216"/>
    <s v="2025-12-16"/>
    <x v="10"/>
    <x v="1"/>
    <s v="Uttar Pradesh"/>
    <x v="1"/>
    <x v="4"/>
    <x v="6"/>
    <n v="2"/>
    <n v="559.9"/>
    <n v="453.98"/>
    <n v="105.92"/>
    <x v="11"/>
    <n v="2025"/>
  </r>
  <r>
    <s v="ORD1243"/>
    <s v="2025-12-20"/>
    <x v="1"/>
    <x v="0"/>
    <s v="Odisha"/>
    <x v="1"/>
    <x v="4"/>
    <x v="7"/>
    <n v="3"/>
    <n v="7003.35"/>
    <n v="5523.03"/>
    <n v="1480.32"/>
    <x v="11"/>
    <n v="2025"/>
  </r>
  <r>
    <s v="ORD1252"/>
    <s v="2025-12-15"/>
    <x v="16"/>
    <x v="1"/>
    <s v="Punjab"/>
    <x v="0"/>
    <x v="2"/>
    <x v="4"/>
    <n v="5"/>
    <n v="8231.4500000000007"/>
    <n v="5595.05"/>
    <n v="2636.4"/>
    <x v="11"/>
    <n v="2025"/>
  </r>
  <r>
    <s v="ORD1266"/>
    <s v="2025-12-16"/>
    <x v="13"/>
    <x v="0"/>
    <s v="Odisha"/>
    <x v="1"/>
    <x v="1"/>
    <x v="2"/>
    <n v="9"/>
    <n v="18673.650000000001"/>
    <n v="14625.09"/>
    <n v="4048.56"/>
    <x v="11"/>
    <n v="2025"/>
  </r>
  <r>
    <s v="ORD1273"/>
    <s v="2025-12-03"/>
    <x v="17"/>
    <x v="3"/>
    <s v="Telangana"/>
    <x v="2"/>
    <x v="5"/>
    <x v="3"/>
    <n v="10"/>
    <n v="27248.9"/>
    <n v="17982.900000000001"/>
    <n v="9266"/>
    <x v="11"/>
    <n v="2025"/>
  </r>
  <r>
    <s v="ORD1290"/>
    <s v="2025-12-12"/>
    <x v="11"/>
    <x v="3"/>
    <s v="Kerala"/>
    <x v="2"/>
    <x v="5"/>
    <x v="7"/>
    <n v="1"/>
    <n v="358.34"/>
    <n v="234.93"/>
    <n v="123.41"/>
    <x v="11"/>
    <n v="2025"/>
  </r>
  <r>
    <s v="ORD1313"/>
    <s v="2025-12-24"/>
    <x v="1"/>
    <x v="0"/>
    <s v="Odisha"/>
    <x v="2"/>
    <x v="3"/>
    <x v="5"/>
    <n v="2"/>
    <n v="3626.24"/>
    <n v="3143.86"/>
    <n v="482.38"/>
    <x v="11"/>
    <n v="2025"/>
  </r>
  <r>
    <s v="ORD1342"/>
    <s v="2025-12-20"/>
    <x v="4"/>
    <x v="2"/>
    <s v="Gujarat"/>
    <x v="2"/>
    <x v="8"/>
    <x v="3"/>
    <n v="4"/>
    <n v="9270.8799999999992"/>
    <n v="7382.12"/>
    <n v="1888.76"/>
    <x v="11"/>
    <n v="2025"/>
  </r>
  <r>
    <s v="ORD1345"/>
    <s v="2025-12-20"/>
    <x v="7"/>
    <x v="0"/>
    <s v="Odisha"/>
    <x v="1"/>
    <x v="11"/>
    <x v="5"/>
    <n v="9"/>
    <n v="25390.35"/>
    <n v="17204.22"/>
    <n v="8186.13"/>
    <x v="11"/>
    <n v="2025"/>
  </r>
  <r>
    <s v="ORD1347"/>
    <s v="2025-12-30"/>
    <x v="0"/>
    <x v="2"/>
    <s v="Goa"/>
    <x v="2"/>
    <x v="5"/>
    <x v="7"/>
    <n v="4"/>
    <n v="703.68"/>
    <n v="577.52"/>
    <n v="126.16"/>
    <x v="11"/>
    <n v="2025"/>
  </r>
  <r>
    <s v="ORD1350"/>
    <s v="2025-12-26"/>
    <x v="17"/>
    <x v="0"/>
    <s v="Odisha"/>
    <x v="1"/>
    <x v="10"/>
    <x v="3"/>
    <n v="5"/>
    <n v="1000.45"/>
    <n v="633.35"/>
    <n v="367.1"/>
    <x v="11"/>
    <n v="2025"/>
  </r>
  <r>
    <s v="ORD1356"/>
    <s v="2025-12-09"/>
    <x v="1"/>
    <x v="2"/>
    <s v="Rajasthan"/>
    <x v="0"/>
    <x v="0"/>
    <x v="3"/>
    <n v="4"/>
    <n v="10558.64"/>
    <n v="7806.24"/>
    <n v="2752.4"/>
    <x v="11"/>
    <n v="2025"/>
  </r>
  <r>
    <s v="ORD1360"/>
    <s v="2025-12-24"/>
    <x v="4"/>
    <x v="3"/>
    <s v="Tamil Nadu"/>
    <x v="1"/>
    <x v="10"/>
    <x v="1"/>
    <n v="6"/>
    <n v="9035.4599999999991"/>
    <n v="7814.46"/>
    <n v="1221"/>
    <x v="11"/>
    <n v="2025"/>
  </r>
  <r>
    <s v="ORD1366"/>
    <s v="2025-12-12"/>
    <x v="6"/>
    <x v="1"/>
    <s v="Uttar Pradesh"/>
    <x v="0"/>
    <x v="14"/>
    <x v="0"/>
    <n v="4"/>
    <n v="3999.12"/>
    <n v="3191.88"/>
    <n v="807.24"/>
    <x v="11"/>
    <n v="2025"/>
  </r>
  <r>
    <s v="ORD1383"/>
    <s v="2025-12-30"/>
    <x v="17"/>
    <x v="3"/>
    <s v="Kerala"/>
    <x v="0"/>
    <x v="2"/>
    <x v="0"/>
    <n v="10"/>
    <n v="5005.3"/>
    <n v="4200.8"/>
    <n v="804.5"/>
    <x v="11"/>
    <n v="2025"/>
  </r>
  <r>
    <s v="ORD1384"/>
    <s v="2025-12-13"/>
    <x v="19"/>
    <x v="2"/>
    <s v="Maharashtra"/>
    <x v="2"/>
    <x v="8"/>
    <x v="1"/>
    <n v="2"/>
    <n v="459.28"/>
    <n v="301.76"/>
    <n v="157.52000000000001"/>
    <x v="11"/>
    <n v="2025"/>
  </r>
  <r>
    <s v="ORD1404"/>
    <s v="2025-12-26"/>
    <x v="18"/>
    <x v="2"/>
    <s v="Maharashtra"/>
    <x v="1"/>
    <x v="11"/>
    <x v="2"/>
    <n v="9"/>
    <n v="2445.3000000000002"/>
    <n v="1774.53"/>
    <n v="670.77"/>
    <x v="11"/>
    <n v="2025"/>
  </r>
  <r>
    <s v="ORD1405"/>
    <s v="2025-12-29"/>
    <x v="6"/>
    <x v="1"/>
    <s v="Uttar Pradesh"/>
    <x v="1"/>
    <x v="1"/>
    <x v="1"/>
    <n v="8"/>
    <n v="17545.2"/>
    <n v="12931.44"/>
    <n v="4613.76"/>
    <x v="11"/>
    <n v="2025"/>
  </r>
  <r>
    <s v="ORD1406"/>
    <s v="2025-12-22"/>
    <x v="4"/>
    <x v="2"/>
    <s v="Maharashtra"/>
    <x v="0"/>
    <x v="13"/>
    <x v="0"/>
    <n v="8"/>
    <n v="5996.88"/>
    <n v="4247.2"/>
    <n v="1749.68"/>
    <x v="11"/>
    <n v="2025"/>
  </r>
  <r>
    <s v="ORD1437"/>
    <s v="2025-12-20"/>
    <x v="14"/>
    <x v="1"/>
    <s v="Punjab"/>
    <x v="0"/>
    <x v="6"/>
    <x v="4"/>
    <n v="2"/>
    <n v="1276.4000000000001"/>
    <n v="1007.6"/>
    <n v="268.8"/>
    <x v="11"/>
    <n v="2025"/>
  </r>
  <r>
    <s v="ORD1444"/>
    <s v="2025-12-23"/>
    <x v="9"/>
    <x v="0"/>
    <s v="Assam"/>
    <x v="1"/>
    <x v="4"/>
    <x v="0"/>
    <n v="6"/>
    <n v="12912.12"/>
    <n v="10762.44"/>
    <n v="2149.6799999999998"/>
    <x v="11"/>
    <n v="2025"/>
  </r>
  <r>
    <s v="ORD1471"/>
    <s v="2025-12-28"/>
    <x v="2"/>
    <x v="0"/>
    <s v="Assam"/>
    <x v="1"/>
    <x v="1"/>
    <x v="4"/>
    <n v="6"/>
    <n v="7012.5"/>
    <n v="5048.16"/>
    <n v="1964.34"/>
    <x v="11"/>
    <n v="2025"/>
  </r>
  <r>
    <s v="ORD1483"/>
    <s v="2025-12-18"/>
    <x v="12"/>
    <x v="2"/>
    <s v="Rajasthan"/>
    <x v="0"/>
    <x v="14"/>
    <x v="2"/>
    <n v="9"/>
    <n v="22322.97"/>
    <n v="16169.76"/>
    <n v="6153.21"/>
    <x v="11"/>
    <n v="2025"/>
  </r>
  <r>
    <s v="ORD1485"/>
    <s v="2025-12-03"/>
    <x v="0"/>
    <x v="1"/>
    <s v="Haryana"/>
    <x v="0"/>
    <x v="0"/>
    <x v="6"/>
    <n v="6"/>
    <n v="8977.32"/>
    <n v="6423.42"/>
    <n v="2553.9"/>
    <x v="11"/>
    <n v="2025"/>
  </r>
  <r>
    <s v="ORD1489"/>
    <s v="2025-12-31"/>
    <x v="0"/>
    <x v="3"/>
    <s v="Kerala"/>
    <x v="2"/>
    <x v="12"/>
    <x v="1"/>
    <n v="6"/>
    <n v="15718.38"/>
    <n v="10812.9"/>
    <n v="4905.4799999999996"/>
    <x v="11"/>
    <n v="20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4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D20:E31" firstHeaderRow="1" firstDataRow="1" firstDataCol="1"/>
  <pivotFields count="14">
    <pivotField showAll="0"/>
    <pivotField showAll="0"/>
    <pivotField showAll="0"/>
    <pivotField showAll="0">
      <items count="5">
        <item x="0"/>
        <item x="1"/>
        <item x="3"/>
        <item x="2"/>
        <item t="default"/>
      </items>
    </pivotField>
    <pivotField showAll="0"/>
    <pivotField showAll="0">
      <items count="4">
        <item x="0"/>
        <item x="2"/>
        <item x="1"/>
        <item t="default"/>
      </items>
    </pivotField>
    <pivotField showAll="0"/>
    <pivotField axis="axisRow" showAll="0">
      <items count="11">
        <item x="7"/>
        <item x="0"/>
        <item x="4"/>
        <item x="2"/>
        <item x="5"/>
        <item x="3"/>
        <item x="6"/>
        <item x="1"/>
        <item f="1" x="8"/>
        <item f="1" x="9"/>
        <item t="default"/>
      </items>
    </pivotField>
    <pivotField showAll="0"/>
    <pivotField dataField="1" showAll="0"/>
    <pivotField showAll="0"/>
    <pivotField showAll="0"/>
    <pivotField showAll="0">
      <items count="25">
        <item h="1" m="1" x="13"/>
        <item h="1" m="1" x="14"/>
        <item h="1" m="1" x="20"/>
        <item h="1" m="1" x="15"/>
        <item h="1" m="1" x="23"/>
        <item h="1" m="1" x="22"/>
        <item h="1" m="1" x="19"/>
        <item h="1" m="1" x="21"/>
        <item h="1" m="1" x="12"/>
        <item h="1" m="1" x="18"/>
        <item h="1" m="1" x="16"/>
        <item h="1" m="1" x="17"/>
        <item x="0"/>
        <item x="1"/>
        <item x="2"/>
        <item x="3"/>
        <item x="4"/>
        <item x="5"/>
        <item x="6"/>
        <item x="7"/>
        <item x="8"/>
        <item x="9"/>
        <item x="10"/>
        <item x="11"/>
        <item t="default"/>
      </items>
    </pivotField>
    <pivotField showAll="0"/>
  </pivotFields>
  <rowFields count="1">
    <field x="7"/>
  </rowFields>
  <rowItems count="11">
    <i>
      <x/>
    </i>
    <i>
      <x v="1"/>
    </i>
    <i>
      <x v="2"/>
    </i>
    <i>
      <x v="3"/>
    </i>
    <i>
      <x v="4"/>
    </i>
    <i>
      <x v="5"/>
    </i>
    <i>
      <x v="6"/>
    </i>
    <i>
      <x v="7"/>
    </i>
    <i>
      <x v="8"/>
    </i>
    <i>
      <x v="9"/>
    </i>
    <i t="grand">
      <x/>
    </i>
  </rowItems>
  <colItems count="1">
    <i/>
  </colItem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4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5">
  <location ref="A27:B31" firstHeaderRow="1" firstDataRow="1" firstDataCol="1"/>
  <pivotFields count="14">
    <pivotField showAll="0"/>
    <pivotField showAll="0"/>
    <pivotField showAll="0"/>
    <pivotField showAll="0">
      <items count="5">
        <item x="0"/>
        <item x="1"/>
        <item x="3"/>
        <item x="2"/>
        <item t="default"/>
      </items>
    </pivotField>
    <pivotField showAll="0"/>
    <pivotField axis="axisRow" showAll="0">
      <items count="4">
        <item x="0"/>
        <item x="2"/>
        <item x="1"/>
        <item t="default"/>
      </items>
    </pivotField>
    <pivotField showAll="0"/>
    <pivotField showAll="0">
      <items count="11">
        <item x="7"/>
        <item x="0"/>
        <item x="4"/>
        <item x="2"/>
        <item x="5"/>
        <item x="3"/>
        <item x="6"/>
        <item x="1"/>
        <item f="1" x="9"/>
        <item f="1" x="8"/>
        <item t="default"/>
      </items>
    </pivotField>
    <pivotField showAll="0"/>
    <pivotField dataField="1" showAll="0"/>
    <pivotField showAll="0"/>
    <pivotField showAll="0"/>
    <pivotField showAll="0">
      <items count="25">
        <item h="1" m="1" x="13"/>
        <item h="1" m="1" x="14"/>
        <item h="1" m="1" x="20"/>
        <item h="1" m="1" x="15"/>
        <item h="1" m="1" x="23"/>
        <item h="1" m="1" x="22"/>
        <item h="1" m="1" x="19"/>
        <item h="1" m="1" x="21"/>
        <item h="1" m="1" x="12"/>
        <item h="1" m="1" x="18"/>
        <item h="1" m="1" x="16"/>
        <item h="1" m="1" x="17"/>
        <item x="0"/>
        <item x="1"/>
        <item x="2"/>
        <item x="3"/>
        <item x="4"/>
        <item x="5"/>
        <item x="6"/>
        <item x="7"/>
        <item x="8"/>
        <item x="9"/>
        <item x="10"/>
        <item x="11"/>
        <item t="default"/>
      </items>
    </pivotField>
    <pivotField showAll="0"/>
  </pivotFields>
  <rowFields count="1">
    <field x="5"/>
  </rowFields>
  <rowItems count="4">
    <i>
      <x/>
    </i>
    <i>
      <x v="1"/>
    </i>
    <i>
      <x v="2"/>
    </i>
    <i t="grand">
      <x/>
    </i>
  </rowItems>
  <colItems count="1">
    <i/>
  </colItems>
  <dataFields count="1">
    <dataField name="Sum of Sales" fld="9" baseField="0" baseItem="0"/>
  </dataFields>
  <chartFormats count="1">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4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7">
  <location ref="D3:E16" firstHeaderRow="1" firstDataRow="1" firstDataCol="1"/>
  <pivotFields count="14">
    <pivotField showAll="0"/>
    <pivotField showAll="0"/>
    <pivotField showAll="0"/>
    <pivotField showAll="0">
      <items count="5">
        <item x="0"/>
        <item x="1"/>
        <item x="3"/>
        <item x="2"/>
        <item t="default"/>
      </items>
    </pivotField>
    <pivotField showAll="0"/>
    <pivotField showAll="0">
      <items count="4">
        <item x="0"/>
        <item x="2"/>
        <item x="1"/>
        <item t="default"/>
      </items>
    </pivotField>
    <pivotField showAll="0"/>
    <pivotField showAll="0">
      <items count="11">
        <item x="7"/>
        <item x="0"/>
        <item x="4"/>
        <item x="2"/>
        <item x="5"/>
        <item x="3"/>
        <item x="6"/>
        <item x="1"/>
        <item f="1" x="9"/>
        <item f="1" x="8"/>
        <item t="default"/>
      </items>
    </pivotField>
    <pivotField showAll="0"/>
    <pivotField showAll="0"/>
    <pivotField showAll="0"/>
    <pivotField dataField="1" showAll="0"/>
    <pivotField axis="axisRow" showAll="0">
      <items count="25">
        <item x="0"/>
        <item x="1"/>
        <item x="2"/>
        <item x="3"/>
        <item x="4"/>
        <item x="5"/>
        <item x="6"/>
        <item x="7"/>
        <item x="8"/>
        <item x="9"/>
        <item x="10"/>
        <item x="11"/>
        <item h="1" m="1" x="15"/>
        <item h="1" m="1" x="13"/>
        <item h="1" m="1" x="12"/>
        <item h="1" m="1" x="19"/>
        <item h="1" m="1" x="17"/>
        <item h="1" m="1" x="22"/>
        <item h="1" m="1" x="21"/>
        <item h="1" m="1" x="20"/>
        <item h="1" m="1" x="23"/>
        <item h="1" m="1" x="16"/>
        <item h="1" m="1" x="14"/>
        <item h="1" m="1" x="18"/>
        <item t="default"/>
      </items>
    </pivotField>
    <pivotField showAll="0"/>
  </pivotFields>
  <rowFields count="1">
    <field x="12"/>
  </rowFields>
  <rowItems count="13">
    <i>
      <x/>
    </i>
    <i>
      <x v="1"/>
    </i>
    <i>
      <x v="2"/>
    </i>
    <i>
      <x v="3"/>
    </i>
    <i>
      <x v="4"/>
    </i>
    <i>
      <x v="5"/>
    </i>
    <i>
      <x v="6"/>
    </i>
    <i>
      <x v="7"/>
    </i>
    <i>
      <x v="8"/>
    </i>
    <i>
      <x v="9"/>
    </i>
    <i>
      <x v="10"/>
    </i>
    <i>
      <x v="11"/>
    </i>
    <i t="grand">
      <x/>
    </i>
  </rowItems>
  <colItems count="1">
    <i/>
  </colItems>
  <dataFields count="1">
    <dataField name="Sum of Profit" fld="11" baseField="0" baseItem="0"/>
  </dataFields>
  <chartFormats count="3">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12" count="1" selected="0">
            <x v="3"/>
          </reference>
        </references>
      </pivotArea>
    </chartFormat>
    <chartFormat chart="7" format="4">
      <pivotArea type="data" outline="0" fieldPosition="0">
        <references count="2">
          <reference field="4294967294" count="1" selected="0">
            <x v="0"/>
          </reference>
          <reference field="12"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4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20:B25" firstHeaderRow="1" firstDataRow="1" firstDataCol="1"/>
  <pivotFields count="14">
    <pivotField showAll="0"/>
    <pivotField showAll="0"/>
    <pivotField showAll="0"/>
    <pivotField axis="axisRow" showAll="0">
      <items count="5">
        <item x="0"/>
        <item x="1"/>
        <item x="3"/>
        <item x="2"/>
        <item t="default"/>
      </items>
    </pivotField>
    <pivotField showAll="0"/>
    <pivotField showAll="0">
      <items count="4">
        <item x="0"/>
        <item x="2"/>
        <item x="1"/>
        <item t="default"/>
      </items>
    </pivotField>
    <pivotField showAll="0"/>
    <pivotField showAll="0">
      <items count="11">
        <item x="7"/>
        <item x="0"/>
        <item x="4"/>
        <item x="2"/>
        <item x="5"/>
        <item x="3"/>
        <item x="6"/>
        <item x="1"/>
        <item f="1" x="9"/>
        <item f="1" x="8"/>
        <item t="default"/>
      </items>
    </pivotField>
    <pivotField showAll="0"/>
    <pivotField dataField="1" showAll="0"/>
    <pivotField showAll="0"/>
    <pivotField showAll="0"/>
    <pivotField showAll="0">
      <items count="25">
        <item h="1" m="1" x="13"/>
        <item h="1" m="1" x="14"/>
        <item h="1" m="1" x="20"/>
        <item h="1" m="1" x="15"/>
        <item h="1" m="1" x="23"/>
        <item h="1" m="1" x="22"/>
        <item h="1" m="1" x="19"/>
        <item h="1" m="1" x="21"/>
        <item h="1" m="1" x="12"/>
        <item h="1" m="1" x="18"/>
        <item h="1" m="1" x="16"/>
        <item h="1" m="1" x="17"/>
        <item x="0"/>
        <item x="1"/>
        <item x="2"/>
        <item x="3"/>
        <item x="4"/>
        <item x="5"/>
        <item x="6"/>
        <item x="7"/>
        <item x="8"/>
        <item x="9"/>
        <item x="10"/>
        <item x="11"/>
        <item t="default"/>
      </items>
    </pivotField>
    <pivotField showAll="0"/>
  </pivotFields>
  <rowFields count="1">
    <field x="3"/>
  </rowFields>
  <rowItems count="5">
    <i>
      <x/>
    </i>
    <i>
      <x v="1"/>
    </i>
    <i>
      <x v="2"/>
    </i>
    <i>
      <x v="3"/>
    </i>
    <i t="grand">
      <x/>
    </i>
  </rowItems>
  <colItems count="1">
    <i/>
  </colItems>
  <dataFields count="1">
    <dataField name="Sum of Sales" fld="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8" cacheId="4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J3:K24" firstHeaderRow="1" firstDataRow="1" firstDataCol="1"/>
  <pivotFields count="14">
    <pivotField showAll="0"/>
    <pivotField showAll="0"/>
    <pivotField axis="axisRow" showAll="0">
      <items count="21">
        <item x="0"/>
        <item x="2"/>
        <item x="1"/>
        <item x="5"/>
        <item x="9"/>
        <item x="16"/>
        <item x="15"/>
        <item x="7"/>
        <item x="4"/>
        <item x="19"/>
        <item x="3"/>
        <item x="13"/>
        <item x="6"/>
        <item x="17"/>
        <item x="14"/>
        <item x="8"/>
        <item x="12"/>
        <item x="11"/>
        <item x="10"/>
        <item x="18"/>
        <item t="default"/>
      </items>
    </pivotField>
    <pivotField showAll="0">
      <items count="5">
        <item x="0"/>
        <item x="1"/>
        <item x="3"/>
        <item x="2"/>
        <item t="default"/>
      </items>
    </pivotField>
    <pivotField showAll="0"/>
    <pivotField showAll="0">
      <items count="4">
        <item x="0"/>
        <item x="2"/>
        <item x="1"/>
        <item t="default"/>
      </items>
    </pivotField>
    <pivotField showAll="0"/>
    <pivotField showAll="0">
      <items count="11">
        <item x="7"/>
        <item x="0"/>
        <item x="4"/>
        <item x="2"/>
        <item x="5"/>
        <item x="3"/>
        <item x="6"/>
        <item x="1"/>
        <item f="1" x="9"/>
        <item f="1" x="8"/>
        <item t="default"/>
      </items>
    </pivotField>
    <pivotField showAll="0"/>
    <pivotField dataField="1" showAll="0"/>
    <pivotField showAll="0"/>
    <pivotField showAll="0"/>
    <pivotField showAll="0">
      <items count="25">
        <item h="1" m="1" x="13"/>
        <item h="1" m="1" x="14"/>
        <item h="1" m="1" x="20"/>
        <item h="1" m="1" x="15"/>
        <item h="1" m="1" x="23"/>
        <item h="1" m="1" x="22"/>
        <item h="1" m="1" x="19"/>
        <item h="1" m="1" x="21"/>
        <item h="1" m="1" x="12"/>
        <item h="1" m="1" x="18"/>
        <item h="1" m="1" x="16"/>
        <item h="1" m="1" x="17"/>
        <item x="0"/>
        <item x="1"/>
        <item x="2"/>
        <item x="3"/>
        <item x="4"/>
        <item x="5"/>
        <item x="6"/>
        <item x="7"/>
        <item x="8"/>
        <item x="9"/>
        <item x="10"/>
        <item x="11"/>
        <item t="default"/>
      </items>
    </pivotField>
    <pivotField showAll="0"/>
  </pivotFields>
  <rowFields count="1">
    <field x="2"/>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4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5">
  <location ref="G15:H31" firstHeaderRow="1" firstDataRow="1" firstDataCol="1"/>
  <pivotFields count="14">
    <pivotField showAll="0"/>
    <pivotField showAll="0"/>
    <pivotField showAll="0"/>
    <pivotField showAll="0">
      <items count="5">
        <item x="0"/>
        <item x="1"/>
        <item x="3"/>
        <item x="2"/>
        <item t="default"/>
      </items>
    </pivotField>
    <pivotField showAll="0"/>
    <pivotField showAll="0">
      <items count="4">
        <item x="0"/>
        <item x="2"/>
        <item x="1"/>
        <item t="default"/>
      </items>
    </pivotField>
    <pivotField axis="axisRow" showAll="0" sortType="ascending">
      <items count="16">
        <item x="12"/>
        <item x="3"/>
        <item x="7"/>
        <item x="5"/>
        <item x="0"/>
        <item x="6"/>
        <item x="4"/>
        <item x="2"/>
        <item x="13"/>
        <item x="10"/>
        <item x="11"/>
        <item x="9"/>
        <item x="14"/>
        <item x="1"/>
        <item x="8"/>
        <item t="default"/>
      </items>
      <autoSortScope>
        <pivotArea dataOnly="0" outline="0" fieldPosition="0">
          <references count="1">
            <reference field="4294967294" count="1" selected="0">
              <x v="0"/>
            </reference>
          </references>
        </pivotArea>
      </autoSortScope>
    </pivotField>
    <pivotField showAll="0">
      <items count="11">
        <item x="7"/>
        <item x="0"/>
        <item x="4"/>
        <item x="2"/>
        <item x="5"/>
        <item x="3"/>
        <item x="6"/>
        <item x="1"/>
        <item f="1" x="9"/>
        <item f="1" x="8"/>
        <item t="default"/>
      </items>
    </pivotField>
    <pivotField showAll="0"/>
    <pivotField dataField="1" showAll="0"/>
    <pivotField showAll="0"/>
    <pivotField showAll="0"/>
    <pivotField showAll="0">
      <items count="25">
        <item h="1" m="1" x="13"/>
        <item h="1" m="1" x="14"/>
        <item h="1" m="1" x="20"/>
        <item h="1" m="1" x="15"/>
        <item h="1" m="1" x="23"/>
        <item h="1" m="1" x="22"/>
        <item h="1" m="1" x="19"/>
        <item h="1" m="1" x="21"/>
        <item h="1" m="1" x="12"/>
        <item h="1" m="1" x="18"/>
        <item h="1" m="1" x="16"/>
        <item h="1" m="1" x="17"/>
        <item x="0"/>
        <item x="1"/>
        <item x="2"/>
        <item x="3"/>
        <item x="4"/>
        <item x="5"/>
        <item x="6"/>
        <item x="7"/>
        <item x="8"/>
        <item x="9"/>
        <item x="10"/>
        <item x="11"/>
        <item t="default"/>
      </items>
    </pivotField>
    <pivotField showAll="0"/>
  </pivotFields>
  <rowFields count="1">
    <field x="6"/>
  </rowFields>
  <rowItems count="16">
    <i>
      <x v="2"/>
    </i>
    <i>
      <x v="8"/>
    </i>
    <i>
      <x v="12"/>
    </i>
    <i>
      <x v="5"/>
    </i>
    <i>
      <x v="14"/>
    </i>
    <i>
      <x v="4"/>
    </i>
    <i>
      <x v="9"/>
    </i>
    <i>
      <x v="10"/>
    </i>
    <i>
      <x v="7"/>
    </i>
    <i>
      <x v="3"/>
    </i>
    <i>
      <x/>
    </i>
    <i>
      <x v="11"/>
    </i>
    <i>
      <x v="1"/>
    </i>
    <i>
      <x v="6"/>
    </i>
    <i>
      <x v="13"/>
    </i>
    <i t="grand">
      <x/>
    </i>
  </rowItems>
  <colItems count="1">
    <i/>
  </colItems>
  <dataFields count="1">
    <dataField name="Sum of Sales" fld="9" baseField="0" baseItem="0"/>
  </dataFields>
  <chartFormats count="17">
    <chartFormat chart="0" format="0" series="1">
      <pivotArea type="data" outline="0" fieldPosition="0">
        <references count="1">
          <reference field="4294967294" count="1" selected="0">
            <x v="0"/>
          </reference>
        </references>
      </pivotArea>
    </chartFormat>
    <chartFormat chart="2" format="17" series="1">
      <pivotArea type="data" outline="0" fieldPosition="0">
        <references count="1">
          <reference field="4294967294" count="1" selected="0">
            <x v="0"/>
          </reference>
        </references>
      </pivotArea>
    </chartFormat>
    <chartFormat chart="2" format="18">
      <pivotArea type="data" outline="0" fieldPosition="0">
        <references count="2">
          <reference field="4294967294" count="1" selected="0">
            <x v="0"/>
          </reference>
          <reference field="6" count="1" selected="0">
            <x v="0"/>
          </reference>
        </references>
      </pivotArea>
    </chartFormat>
    <chartFormat chart="2" format="19">
      <pivotArea type="data" outline="0" fieldPosition="0">
        <references count="2">
          <reference field="4294967294" count="1" selected="0">
            <x v="0"/>
          </reference>
          <reference field="6" count="1" selected="0">
            <x v="1"/>
          </reference>
        </references>
      </pivotArea>
    </chartFormat>
    <chartFormat chart="2" format="20">
      <pivotArea type="data" outline="0" fieldPosition="0">
        <references count="2">
          <reference field="4294967294" count="1" selected="0">
            <x v="0"/>
          </reference>
          <reference field="6" count="1" selected="0">
            <x v="2"/>
          </reference>
        </references>
      </pivotArea>
    </chartFormat>
    <chartFormat chart="2" format="21">
      <pivotArea type="data" outline="0" fieldPosition="0">
        <references count="2">
          <reference field="4294967294" count="1" selected="0">
            <x v="0"/>
          </reference>
          <reference field="6" count="1" selected="0">
            <x v="3"/>
          </reference>
        </references>
      </pivotArea>
    </chartFormat>
    <chartFormat chart="2" format="22">
      <pivotArea type="data" outline="0" fieldPosition="0">
        <references count="2">
          <reference field="4294967294" count="1" selected="0">
            <x v="0"/>
          </reference>
          <reference field="6" count="1" selected="0">
            <x v="4"/>
          </reference>
        </references>
      </pivotArea>
    </chartFormat>
    <chartFormat chart="2" format="23">
      <pivotArea type="data" outline="0" fieldPosition="0">
        <references count="2">
          <reference field="4294967294" count="1" selected="0">
            <x v="0"/>
          </reference>
          <reference field="6" count="1" selected="0">
            <x v="5"/>
          </reference>
        </references>
      </pivotArea>
    </chartFormat>
    <chartFormat chart="2" format="24">
      <pivotArea type="data" outline="0" fieldPosition="0">
        <references count="2">
          <reference field="4294967294" count="1" selected="0">
            <x v="0"/>
          </reference>
          <reference field="6" count="1" selected="0">
            <x v="6"/>
          </reference>
        </references>
      </pivotArea>
    </chartFormat>
    <chartFormat chart="2" format="25">
      <pivotArea type="data" outline="0" fieldPosition="0">
        <references count="2">
          <reference field="4294967294" count="1" selected="0">
            <x v="0"/>
          </reference>
          <reference field="6" count="1" selected="0">
            <x v="7"/>
          </reference>
        </references>
      </pivotArea>
    </chartFormat>
    <chartFormat chart="2" format="26">
      <pivotArea type="data" outline="0" fieldPosition="0">
        <references count="2">
          <reference field="4294967294" count="1" selected="0">
            <x v="0"/>
          </reference>
          <reference field="6" count="1" selected="0">
            <x v="8"/>
          </reference>
        </references>
      </pivotArea>
    </chartFormat>
    <chartFormat chart="2" format="27">
      <pivotArea type="data" outline="0" fieldPosition="0">
        <references count="2">
          <reference field="4294967294" count="1" selected="0">
            <x v="0"/>
          </reference>
          <reference field="6" count="1" selected="0">
            <x v="9"/>
          </reference>
        </references>
      </pivotArea>
    </chartFormat>
    <chartFormat chart="2" format="28">
      <pivotArea type="data" outline="0" fieldPosition="0">
        <references count="2">
          <reference field="4294967294" count="1" selected="0">
            <x v="0"/>
          </reference>
          <reference field="6" count="1" selected="0">
            <x v="10"/>
          </reference>
        </references>
      </pivotArea>
    </chartFormat>
    <chartFormat chart="2" format="29">
      <pivotArea type="data" outline="0" fieldPosition="0">
        <references count="2">
          <reference field="4294967294" count="1" selected="0">
            <x v="0"/>
          </reference>
          <reference field="6" count="1" selected="0">
            <x v="11"/>
          </reference>
        </references>
      </pivotArea>
    </chartFormat>
    <chartFormat chart="2" format="30">
      <pivotArea type="data" outline="0" fieldPosition="0">
        <references count="2">
          <reference field="4294967294" count="1" selected="0">
            <x v="0"/>
          </reference>
          <reference field="6" count="1" selected="0">
            <x v="12"/>
          </reference>
        </references>
      </pivotArea>
    </chartFormat>
    <chartFormat chart="2" format="31">
      <pivotArea type="data" outline="0" fieldPosition="0">
        <references count="2">
          <reference field="4294967294" count="1" selected="0">
            <x v="0"/>
          </reference>
          <reference field="6" count="1" selected="0">
            <x v="13"/>
          </reference>
        </references>
      </pivotArea>
    </chartFormat>
    <chartFormat chart="2" format="32">
      <pivotArea type="data" outline="0" fieldPosition="0">
        <references count="2">
          <reference field="4294967294" count="1" selected="0">
            <x v="0"/>
          </reference>
          <reference field="6"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 cacheId="4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A3:B16" firstHeaderRow="1" firstDataRow="1" firstDataCol="1"/>
  <pivotFields count="14">
    <pivotField showAll="0"/>
    <pivotField showAll="0"/>
    <pivotField showAll="0"/>
    <pivotField showAll="0">
      <items count="5">
        <item x="0"/>
        <item x="1"/>
        <item x="3"/>
        <item x="2"/>
        <item t="default"/>
      </items>
    </pivotField>
    <pivotField showAll="0"/>
    <pivotField showAll="0">
      <items count="4">
        <item x="0"/>
        <item x="2"/>
        <item x="1"/>
        <item t="default"/>
      </items>
    </pivotField>
    <pivotField showAll="0"/>
    <pivotField showAll="0">
      <items count="11">
        <item x="7"/>
        <item x="0"/>
        <item x="4"/>
        <item x="2"/>
        <item x="5"/>
        <item x="3"/>
        <item x="6"/>
        <item x="1"/>
        <item f="1" x="9"/>
        <item f="1" x="8"/>
        <item t="default"/>
      </items>
    </pivotField>
    <pivotField showAll="0"/>
    <pivotField dataField="1" showAll="0"/>
    <pivotField showAll="0"/>
    <pivotField showAll="0"/>
    <pivotField axis="axisRow" multipleItemSelectionAllowed="1" showAll="0">
      <items count="25">
        <item h="1" m="1" x="13"/>
        <item h="1" m="1" x="14"/>
        <item h="1" m="1" x="20"/>
        <item h="1" m="1" x="15"/>
        <item h="1" m="1" x="23"/>
        <item h="1" m="1" x="22"/>
        <item h="1" m="1" x="19"/>
        <item h="1" m="1" x="21"/>
        <item h="1" m="1" x="12"/>
        <item h="1" m="1" x="18"/>
        <item h="1" m="1" x="16"/>
        <item h="1" m="1" x="17"/>
        <item x="0"/>
        <item x="1"/>
        <item x="2"/>
        <item x="3"/>
        <item x="4"/>
        <item x="5"/>
        <item x="6"/>
        <item x="7"/>
        <item x="8"/>
        <item x="9"/>
        <item x="10"/>
        <item x="11"/>
        <item t="default"/>
      </items>
    </pivotField>
    <pivotField showAll="0"/>
  </pivotFields>
  <rowFields count="1">
    <field x="12"/>
  </rowFields>
  <rowItems count="13">
    <i>
      <x v="12"/>
    </i>
    <i>
      <x v="13"/>
    </i>
    <i>
      <x v="14"/>
    </i>
    <i>
      <x v="15"/>
    </i>
    <i>
      <x v="16"/>
    </i>
    <i>
      <x v="17"/>
    </i>
    <i>
      <x v="18"/>
    </i>
    <i>
      <x v="19"/>
    </i>
    <i>
      <x v="20"/>
    </i>
    <i>
      <x v="21"/>
    </i>
    <i>
      <x v="22"/>
    </i>
    <i>
      <x v="23"/>
    </i>
    <i t="grand">
      <x/>
    </i>
  </rowItems>
  <colItems count="1">
    <i/>
  </colItems>
  <dataFields count="1">
    <dataField name="Sum of Sales" fld="9" baseField="0" baseItem="0"/>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5" cacheId="4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G3:H7" firstHeaderRow="1" firstDataRow="1" firstDataCol="1"/>
  <pivotFields count="14">
    <pivotField showAll="0"/>
    <pivotField showAll="0"/>
    <pivotField showAll="0"/>
    <pivotField showAll="0">
      <items count="5">
        <item x="0"/>
        <item x="1"/>
        <item x="3"/>
        <item x="2"/>
        <item t="default"/>
      </items>
    </pivotField>
    <pivotField showAll="0"/>
    <pivotField axis="axisRow" showAll="0">
      <items count="4">
        <item x="0"/>
        <item x="2"/>
        <item x="1"/>
        <item t="default"/>
      </items>
    </pivotField>
    <pivotField showAll="0"/>
    <pivotField showAll="0">
      <items count="11">
        <item x="7"/>
        <item x="0"/>
        <item x="4"/>
        <item x="2"/>
        <item x="5"/>
        <item x="3"/>
        <item x="6"/>
        <item x="1"/>
        <item f="1" x="9"/>
        <item f="1" x="8"/>
        <item t="default"/>
      </items>
    </pivotField>
    <pivotField showAll="0"/>
    <pivotField showAll="0"/>
    <pivotField showAll="0"/>
    <pivotField dataField="1" showAll="0"/>
    <pivotField showAll="0">
      <items count="25">
        <item h="1" m="1" x="13"/>
        <item h="1" m="1" x="14"/>
        <item h="1" m="1" x="20"/>
        <item h="1" m="1" x="15"/>
        <item h="1" m="1" x="23"/>
        <item h="1" m="1" x="22"/>
        <item h="1" m="1" x="19"/>
        <item h="1" m="1" x="21"/>
        <item h="1" m="1" x="12"/>
        <item h="1" m="1" x="18"/>
        <item h="1" m="1" x="16"/>
        <item h="1" m="1" x="17"/>
        <item x="0"/>
        <item x="1"/>
        <item x="2"/>
        <item x="3"/>
        <item x="4"/>
        <item x="5"/>
        <item x="6"/>
        <item x="7"/>
        <item x="8"/>
        <item x="9"/>
        <item x="10"/>
        <item x="11"/>
        <item t="default"/>
      </items>
    </pivotField>
    <pivotField showAll="0"/>
  </pivotFields>
  <rowFields count="1">
    <field x="5"/>
  </rowFields>
  <rowItems count="4">
    <i>
      <x/>
    </i>
    <i>
      <x v="1"/>
    </i>
    <i>
      <x v="2"/>
    </i>
    <i t="grand">
      <x/>
    </i>
  </rowItems>
  <colItems count="1">
    <i/>
  </colItems>
  <dataFields count="1">
    <dataField name="Sum of Profi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s1" sourceName="Months">
  <pivotTables>
    <pivotTable tabId="3" name="PivotTable2"/>
    <pivotTable tabId="3" name="PivotTable1"/>
    <pivotTable tabId="3" name="PivotTable3"/>
    <pivotTable tabId="3" name="PivotTable4"/>
    <pivotTable tabId="3" name="PivotTable5"/>
    <pivotTable tabId="3" name="PivotTable6"/>
    <pivotTable tabId="3" name="PivotTable7"/>
    <pivotTable tabId="3" name="PivotTable8"/>
  </pivotTables>
  <data>
    <tabular pivotCacheId="1">
      <items count="24">
        <i x="13"/>
        <i x="14"/>
        <i x="20"/>
        <i x="15"/>
        <i x="23"/>
        <i x="22"/>
        <i x="19"/>
        <i x="21"/>
        <i x="12"/>
        <i x="18"/>
        <i x="16"/>
        <i x="17"/>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1" sourceName="Category">
  <pivotTables>
    <pivotTable tabId="3" name="PivotTable2"/>
    <pivotTable tabId="3" name="PivotTable1"/>
    <pivotTable tabId="3" name="PivotTable3"/>
    <pivotTable tabId="3" name="PivotTable4"/>
    <pivotTable tabId="3" name="PivotTable5"/>
    <pivotTable tabId="3" name="PivotTable6"/>
    <pivotTable tabId="3" name="PivotTable7"/>
    <pivotTable tabId="3" name="PivotTable8"/>
  </pivotTables>
  <data>
    <tabular pivotCacheId="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1" sourceName="Region">
  <pivotTables>
    <pivotTable tabId="3" name="PivotTable2"/>
    <pivotTable tabId="3" name="PivotTable1"/>
    <pivotTable tabId="3" name="PivotTable3"/>
    <pivotTable tabId="3" name="PivotTable4"/>
    <pivotTable tabId="3" name="PivotTable5"/>
    <pivotTable tabId="3" name="PivotTable6"/>
    <pivotTable tabId="3" name="PivotTable7"/>
    <pivotTable tabId="3" name="PivotTable8"/>
  </pivotTables>
  <data>
    <tabular pivotCacheId="1">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s 1" cache="Slicer_Months1" caption="Months" startItem="12" rowHeight="234950"/>
  <slicer name="Category 1" cache="Slicer_Category1" caption="Category" rowHeight="234950"/>
  <slicer name="Region 1" cache="Slicer_Region1" caption="Region" rowHeight="234950"/>
</slicers>
</file>

<file path=xl/tables/table1.xml><?xml version="1.0" encoding="utf-8"?>
<table xmlns="http://schemas.openxmlformats.org/spreadsheetml/2006/main" id="2" name="Table2" displayName="Table2" ref="A1:N501" totalsRowShown="0">
  <autoFilter ref="A1:N501"/>
  <sortState ref="A2:N501">
    <sortCondition ref="M2:M501" customList="Jan,Feb,Mar,Apr,May,Jun,Jul,Aug,Sep,Oct,Nov,Dec"/>
  </sortState>
  <tableColumns count="14">
    <tableColumn id="1" name="Order ID"/>
    <tableColumn id="2" name="Order Date"/>
    <tableColumn id="3" name="Customer"/>
    <tableColumn id="4" name="Region"/>
    <tableColumn id="5" name="State"/>
    <tableColumn id="6" name="Category"/>
    <tableColumn id="7" name="Product"/>
    <tableColumn id="8" name="Salesperson"/>
    <tableColumn id="9" name="Quantity"/>
    <tableColumn id="10" name="Sales"/>
    <tableColumn id="11" name="Cost"/>
    <tableColumn id="12" name="Profit"/>
    <tableColumn id="13" name="Months" dataDxfId="1">
      <calculatedColumnFormula>TEXT(Table2[[#This Row],[Order Date]],"mm")</calculatedColumnFormula>
    </tableColumn>
    <tableColumn id="14" name="Years" dataDxfId="0">
      <calculatedColumnFormula>YEAR(Table2[[#This Row],[Order Date]])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31"/>
  <sheetViews>
    <sheetView zoomScale="83" workbookViewId="0">
      <selection activeCell="H18" sqref="H18"/>
    </sheetView>
  </sheetViews>
  <sheetFormatPr defaultRowHeight="14.4" x14ac:dyDescent="0.3"/>
  <cols>
    <col min="1" max="1" width="12.77734375" customWidth="1"/>
    <col min="2" max="2" width="11.6640625" customWidth="1"/>
    <col min="4" max="4" width="12.77734375" customWidth="1"/>
    <col min="5" max="5" width="12.109375" customWidth="1"/>
    <col min="6" max="6" width="12.5546875" customWidth="1"/>
    <col min="7" max="7" width="12.77734375" customWidth="1"/>
    <col min="8" max="8" width="11.6640625" customWidth="1"/>
    <col min="9" max="9" width="12.5546875" customWidth="1"/>
    <col min="10" max="10" width="12.77734375" customWidth="1"/>
    <col min="11" max="11" width="11.6640625" customWidth="1"/>
    <col min="12" max="12" width="12.5546875" customWidth="1"/>
    <col min="13" max="14" width="11.6640625" customWidth="1"/>
    <col min="16" max="16" width="12.5546875" bestFit="1" customWidth="1"/>
    <col min="17" max="17" width="11.6640625" bestFit="1" customWidth="1"/>
  </cols>
  <sheetData>
    <row r="2" spans="1:14" x14ac:dyDescent="0.3">
      <c r="A2" s="7"/>
      <c r="B2" s="7"/>
    </row>
    <row r="3" spans="1:14" x14ac:dyDescent="0.3">
      <c r="A3" s="3" t="s">
        <v>860</v>
      </c>
      <c r="B3" t="s">
        <v>859</v>
      </c>
      <c r="D3" s="3" t="s">
        <v>860</v>
      </c>
      <c r="E3" t="s">
        <v>876</v>
      </c>
      <c r="G3" s="3" t="s">
        <v>860</v>
      </c>
      <c r="H3" t="s">
        <v>876</v>
      </c>
      <c r="J3" s="3" t="s">
        <v>860</v>
      </c>
      <c r="K3" t="s">
        <v>859</v>
      </c>
    </row>
    <row r="4" spans="1:14" x14ac:dyDescent="0.3">
      <c r="A4" s="4" t="s">
        <v>861</v>
      </c>
      <c r="B4" s="2">
        <v>303310.2699999999</v>
      </c>
      <c r="D4" s="4" t="s">
        <v>861</v>
      </c>
      <c r="E4" s="2">
        <v>84098.86000000003</v>
      </c>
      <c r="G4" s="4" t="s">
        <v>25</v>
      </c>
      <c r="H4" s="2">
        <v>303107.96000000014</v>
      </c>
      <c r="J4" s="4" t="s">
        <v>22</v>
      </c>
      <c r="K4" s="2">
        <v>177397.55000000002</v>
      </c>
    </row>
    <row r="5" spans="1:14" x14ac:dyDescent="0.3">
      <c r="A5" s="4" t="s">
        <v>862</v>
      </c>
      <c r="B5" s="2">
        <v>359837.42</v>
      </c>
      <c r="D5" s="4" t="s">
        <v>862</v>
      </c>
      <c r="E5" s="2">
        <v>98482.98</v>
      </c>
      <c r="G5" s="4" t="s">
        <v>17</v>
      </c>
      <c r="H5" s="2">
        <v>349271.28999999992</v>
      </c>
      <c r="J5" s="4" t="s">
        <v>83</v>
      </c>
      <c r="K5" s="2">
        <v>157667.19000000003</v>
      </c>
    </row>
    <row r="6" spans="1:14" x14ac:dyDescent="0.3">
      <c r="A6" s="4" t="s">
        <v>863</v>
      </c>
      <c r="B6" s="2">
        <v>297988.90000000002</v>
      </c>
      <c r="D6" s="4" t="s">
        <v>863</v>
      </c>
      <c r="E6" s="2">
        <v>80375.600000000006</v>
      </c>
      <c r="G6" s="4" t="s">
        <v>50</v>
      </c>
      <c r="H6" s="2">
        <v>415318.59000000008</v>
      </c>
      <c r="J6" s="4" t="s">
        <v>113</v>
      </c>
      <c r="K6" s="2">
        <v>259911.16999999993</v>
      </c>
    </row>
    <row r="7" spans="1:14" x14ac:dyDescent="0.3">
      <c r="A7" s="4" t="s">
        <v>864</v>
      </c>
      <c r="B7" s="2">
        <v>259414.38999999998</v>
      </c>
      <c r="D7" s="4" t="s">
        <v>864</v>
      </c>
      <c r="E7" s="2">
        <v>78824.77</v>
      </c>
      <c r="G7" s="4" t="s">
        <v>873</v>
      </c>
      <c r="H7" s="2">
        <v>1067697.8400000001</v>
      </c>
      <c r="J7" s="4" t="s">
        <v>132</v>
      </c>
      <c r="K7" s="2">
        <v>272356.58</v>
      </c>
    </row>
    <row r="8" spans="1:14" x14ac:dyDescent="0.3">
      <c r="A8" s="4" t="s">
        <v>865</v>
      </c>
      <c r="B8" s="2">
        <v>349924.61</v>
      </c>
      <c r="D8" s="4" t="s">
        <v>865</v>
      </c>
      <c r="E8" s="2">
        <v>100953.94</v>
      </c>
      <c r="J8" s="4" t="s">
        <v>70</v>
      </c>
      <c r="K8" s="2">
        <v>173499.98</v>
      </c>
    </row>
    <row r="9" spans="1:14" x14ac:dyDescent="0.3">
      <c r="A9" s="4" t="s">
        <v>866</v>
      </c>
      <c r="B9" s="2">
        <v>313027.01</v>
      </c>
      <c r="D9" s="4" t="s">
        <v>866</v>
      </c>
      <c r="E9" s="2">
        <v>86830.540000000008</v>
      </c>
      <c r="J9" s="4" t="s">
        <v>161</v>
      </c>
      <c r="K9" s="2">
        <v>269028.95999999996</v>
      </c>
    </row>
    <row r="10" spans="1:14" x14ac:dyDescent="0.3">
      <c r="A10" s="4" t="s">
        <v>867</v>
      </c>
      <c r="B10" s="2">
        <v>336133.04</v>
      </c>
      <c r="D10" s="4" t="s">
        <v>867</v>
      </c>
      <c r="E10" s="2">
        <v>95206.300000000032</v>
      </c>
      <c r="J10" s="4" t="s">
        <v>143</v>
      </c>
      <c r="K10" s="2">
        <v>143870.36000000002</v>
      </c>
      <c r="M10" s="4"/>
      <c r="N10" s="2"/>
    </row>
    <row r="11" spans="1:14" x14ac:dyDescent="0.3">
      <c r="A11" s="4" t="s">
        <v>868</v>
      </c>
      <c r="B11" s="2">
        <v>309747.71999999991</v>
      </c>
      <c r="D11" s="4" t="s">
        <v>868</v>
      </c>
      <c r="E11" s="2">
        <v>83244.909999999989</v>
      </c>
      <c r="J11" s="4" t="s">
        <v>94</v>
      </c>
      <c r="K11" s="2">
        <v>287400.04999999993</v>
      </c>
      <c r="M11" s="4"/>
      <c r="N11" s="2"/>
    </row>
    <row r="12" spans="1:14" x14ac:dyDescent="0.3">
      <c r="A12" s="4" t="s">
        <v>869</v>
      </c>
      <c r="B12" s="2">
        <v>272885.95</v>
      </c>
      <c r="D12" s="4" t="s">
        <v>869</v>
      </c>
      <c r="E12" s="2">
        <v>70893.570000000007</v>
      </c>
      <c r="J12" s="4" t="s">
        <v>263</v>
      </c>
      <c r="K12" s="2">
        <v>186183.4</v>
      </c>
      <c r="M12" s="4"/>
      <c r="N12" s="2"/>
    </row>
    <row r="13" spans="1:14" x14ac:dyDescent="0.3">
      <c r="A13" s="4" t="s">
        <v>870</v>
      </c>
      <c r="B13" s="2">
        <v>365846.22999999986</v>
      </c>
      <c r="D13" s="4" t="s">
        <v>870</v>
      </c>
      <c r="E13" s="2">
        <v>97177.559999999983</v>
      </c>
      <c r="J13" s="4" t="s">
        <v>36</v>
      </c>
      <c r="K13" s="2">
        <v>141337.37999999998</v>
      </c>
      <c r="M13" s="4"/>
      <c r="N13" s="2"/>
    </row>
    <row r="14" spans="1:14" x14ac:dyDescent="0.3">
      <c r="A14" s="4" t="s">
        <v>871</v>
      </c>
      <c r="B14" s="2">
        <v>427418.71</v>
      </c>
      <c r="D14" s="4" t="s">
        <v>871</v>
      </c>
      <c r="E14" s="2">
        <v>105716.17000000001</v>
      </c>
      <c r="J14" s="4" t="s">
        <v>30</v>
      </c>
      <c r="K14" s="2">
        <v>185134.16</v>
      </c>
      <c r="M14" s="4"/>
      <c r="N14" s="2"/>
    </row>
    <row r="15" spans="1:14" x14ac:dyDescent="0.3">
      <c r="A15" s="4" t="s">
        <v>872</v>
      </c>
      <c r="B15" s="2">
        <v>326821.10000000003</v>
      </c>
      <c r="D15" s="4" t="s">
        <v>872</v>
      </c>
      <c r="E15" s="2">
        <v>85892.63999999997</v>
      </c>
      <c r="G15" s="3" t="s">
        <v>860</v>
      </c>
      <c r="H15" t="s">
        <v>859</v>
      </c>
      <c r="J15" s="4" t="s">
        <v>47</v>
      </c>
      <c r="K15" s="2">
        <v>131649.31</v>
      </c>
      <c r="M15" s="4"/>
      <c r="N15" s="2"/>
    </row>
    <row r="16" spans="1:14" x14ac:dyDescent="0.3">
      <c r="A16" s="4" t="s">
        <v>873</v>
      </c>
      <c r="B16" s="2">
        <v>3922355.3499999996</v>
      </c>
      <c r="D16" s="4" t="s">
        <v>873</v>
      </c>
      <c r="E16" s="2">
        <v>1067697.8400000001</v>
      </c>
      <c r="G16" s="4" t="s">
        <v>116</v>
      </c>
      <c r="H16" s="2">
        <v>166363.57</v>
      </c>
      <c r="J16" s="4" t="s">
        <v>103</v>
      </c>
      <c r="K16" s="2">
        <v>155328.9</v>
      </c>
      <c r="M16" s="4"/>
      <c r="N16" s="2"/>
    </row>
    <row r="17" spans="1:14" x14ac:dyDescent="0.3">
      <c r="G17" s="4" t="s">
        <v>56</v>
      </c>
      <c r="H17" s="2">
        <v>169238.97000000003</v>
      </c>
      <c r="J17" s="4" t="s">
        <v>74</v>
      </c>
      <c r="K17" s="2">
        <v>259871.7600000001</v>
      </c>
      <c r="M17" s="4"/>
      <c r="N17" s="2"/>
    </row>
    <row r="18" spans="1:14" x14ac:dyDescent="0.3">
      <c r="G18" s="4" t="s">
        <v>158</v>
      </c>
      <c r="H18" s="2">
        <v>217527.23</v>
      </c>
      <c r="J18" s="4" t="s">
        <v>79</v>
      </c>
      <c r="K18" s="2">
        <v>91989.94</v>
      </c>
      <c r="M18" s="4"/>
      <c r="N18" s="2"/>
    </row>
    <row r="19" spans="1:14" x14ac:dyDescent="0.3">
      <c r="G19" s="4" t="s">
        <v>32</v>
      </c>
      <c r="H19" s="2">
        <v>239949.84999999995</v>
      </c>
      <c r="J19" s="4" t="s">
        <v>106</v>
      </c>
      <c r="K19" s="2">
        <v>195338.65000000002</v>
      </c>
      <c r="M19" s="4"/>
      <c r="N19" s="2"/>
    </row>
    <row r="20" spans="1:14" x14ac:dyDescent="0.3">
      <c r="A20" s="3" t="s">
        <v>860</v>
      </c>
      <c r="B20" t="s">
        <v>859</v>
      </c>
      <c r="D20" s="3" t="s">
        <v>860</v>
      </c>
      <c r="E20" t="s">
        <v>859</v>
      </c>
      <c r="G20" s="4" t="s">
        <v>18</v>
      </c>
      <c r="H20" s="2">
        <v>247045.61000000004</v>
      </c>
      <c r="J20" s="4" t="s">
        <v>206</v>
      </c>
      <c r="K20" s="2">
        <v>214769.66999999993</v>
      </c>
      <c r="M20" s="4"/>
      <c r="N20" s="2"/>
    </row>
    <row r="21" spans="1:14" x14ac:dyDescent="0.3">
      <c r="A21" s="4" t="s">
        <v>23</v>
      </c>
      <c r="B21" s="2">
        <v>924866.37999999977</v>
      </c>
      <c r="D21" s="4" t="s">
        <v>33</v>
      </c>
      <c r="E21" s="2">
        <v>464061.99000000005</v>
      </c>
      <c r="G21" s="4" t="s">
        <v>26</v>
      </c>
      <c r="H21" s="2">
        <v>250739.16999999998</v>
      </c>
      <c r="J21" s="4" t="s">
        <v>42</v>
      </c>
      <c r="K21" s="2">
        <v>199476.61000000002</v>
      </c>
      <c r="M21" s="4"/>
      <c r="N21" s="2"/>
    </row>
    <row r="22" spans="1:14" x14ac:dyDescent="0.3">
      <c r="A22" s="4" t="s">
        <v>54</v>
      </c>
      <c r="B22" s="2">
        <v>1086366.1400000004</v>
      </c>
      <c r="D22" s="4" t="s">
        <v>27</v>
      </c>
      <c r="E22" s="2">
        <v>443252.05999999976</v>
      </c>
      <c r="G22" s="4" t="s">
        <v>134</v>
      </c>
      <c r="H22" s="2">
        <v>259856.29000000004</v>
      </c>
      <c r="J22" s="4" t="s">
        <v>14</v>
      </c>
      <c r="K22" s="2">
        <v>179842.74000000002</v>
      </c>
      <c r="M22" s="4"/>
      <c r="N22" s="2"/>
    </row>
    <row r="23" spans="1:14" x14ac:dyDescent="0.3">
      <c r="A23" s="4" t="s">
        <v>15</v>
      </c>
      <c r="B23" s="2">
        <v>959187.44000000006</v>
      </c>
      <c r="D23" s="4" t="s">
        <v>44</v>
      </c>
      <c r="E23" s="2">
        <v>467060.93000000005</v>
      </c>
      <c r="G23" s="4" t="s">
        <v>51</v>
      </c>
      <c r="H23" s="2">
        <v>266914.09999999992</v>
      </c>
      <c r="J23" s="4" t="s">
        <v>335</v>
      </c>
      <c r="K23" s="2">
        <v>240300.98999999996</v>
      </c>
    </row>
    <row r="24" spans="1:14" x14ac:dyDescent="0.3">
      <c r="A24" s="4" t="s">
        <v>48</v>
      </c>
      <c r="B24" s="2">
        <v>951935.39</v>
      </c>
      <c r="D24" s="4" t="s">
        <v>64</v>
      </c>
      <c r="E24" s="2">
        <v>556421.67000000004</v>
      </c>
      <c r="G24" s="4" t="s">
        <v>71</v>
      </c>
      <c r="H24" s="2">
        <v>276510.14</v>
      </c>
      <c r="J24" s="4" t="s">
        <v>873</v>
      </c>
      <c r="K24" s="2">
        <v>3922355.3499999996</v>
      </c>
    </row>
    <row r="25" spans="1:14" x14ac:dyDescent="0.3">
      <c r="A25" s="4" t="s">
        <v>873</v>
      </c>
      <c r="B25" s="2">
        <v>3922355.35</v>
      </c>
      <c r="D25" s="4" t="s">
        <v>39</v>
      </c>
      <c r="E25" s="2">
        <v>469090.28999999992</v>
      </c>
      <c r="G25" s="4" t="s">
        <v>76</v>
      </c>
      <c r="H25" s="2">
        <v>280299.06</v>
      </c>
    </row>
    <row r="26" spans="1:14" x14ac:dyDescent="0.3">
      <c r="D26" s="4" t="s">
        <v>60</v>
      </c>
      <c r="E26" s="2">
        <v>509082.35000000003</v>
      </c>
      <c r="G26" s="4" t="s">
        <v>38</v>
      </c>
      <c r="H26" s="2">
        <v>286250.55</v>
      </c>
    </row>
    <row r="27" spans="1:14" x14ac:dyDescent="0.3">
      <c r="A27" s="3" t="s">
        <v>860</v>
      </c>
      <c r="B27" t="s">
        <v>859</v>
      </c>
      <c r="D27" s="4" t="s">
        <v>85</v>
      </c>
      <c r="E27" s="2">
        <v>452995.58</v>
      </c>
      <c r="G27" s="4" t="s">
        <v>110</v>
      </c>
      <c r="H27" s="2">
        <v>287322.76</v>
      </c>
    </row>
    <row r="28" spans="1:14" x14ac:dyDescent="0.3">
      <c r="A28" s="4" t="s">
        <v>25</v>
      </c>
      <c r="B28" s="2">
        <v>1153965.3600000001</v>
      </c>
      <c r="D28" s="4" t="s">
        <v>19</v>
      </c>
      <c r="E28" s="2">
        <v>560390.48</v>
      </c>
      <c r="G28" s="4" t="s">
        <v>63</v>
      </c>
      <c r="H28" s="2">
        <v>296385.30000000005</v>
      </c>
    </row>
    <row r="29" spans="1:14" x14ac:dyDescent="0.3">
      <c r="A29" s="4" t="s">
        <v>17</v>
      </c>
      <c r="B29" s="2">
        <v>1276344.0900000005</v>
      </c>
      <c r="D29" s="4" t="s">
        <v>878</v>
      </c>
      <c r="E29" s="2"/>
      <c r="G29" s="4" t="s">
        <v>95</v>
      </c>
      <c r="H29" s="2">
        <v>323710.17</v>
      </c>
    </row>
    <row r="30" spans="1:14" x14ac:dyDescent="0.3">
      <c r="A30" s="4" t="s">
        <v>50</v>
      </c>
      <c r="B30" s="2">
        <v>1492045.9000000004</v>
      </c>
      <c r="D30" s="4" t="s">
        <v>877</v>
      </c>
      <c r="E30" s="2"/>
      <c r="G30" s="4" t="s">
        <v>80</v>
      </c>
      <c r="H30" s="2">
        <v>354242.58</v>
      </c>
    </row>
    <row r="31" spans="1:14" x14ac:dyDescent="0.3">
      <c r="A31" s="4" t="s">
        <v>873</v>
      </c>
      <c r="B31" s="2">
        <v>3922355.350000001</v>
      </c>
      <c r="D31" s="4" t="s">
        <v>873</v>
      </c>
      <c r="E31" s="2">
        <v>3922355.35</v>
      </c>
      <c r="G31" s="4" t="s">
        <v>873</v>
      </c>
      <c r="H31" s="2">
        <v>3922355.3500000006</v>
      </c>
    </row>
  </sheetData>
  <pageMargins left="0.7" right="0.7" top="0.75" bottom="0.75" header="0.3" footer="0.3"/>
  <pageSetup orientation="portrait"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01"/>
  <sheetViews>
    <sheetView topLeftCell="A2" workbookViewId="0">
      <selection activeCell="H521" sqref="H521"/>
    </sheetView>
  </sheetViews>
  <sheetFormatPr defaultRowHeight="14.4" x14ac:dyDescent="0.3"/>
  <cols>
    <col min="1" max="1" width="9.88671875" customWidth="1"/>
    <col min="2" max="2" width="12" customWidth="1"/>
    <col min="3" max="3" width="11" customWidth="1"/>
    <col min="6" max="6" width="10.44140625" customWidth="1"/>
    <col min="7" max="7" width="9.5546875" customWidth="1"/>
    <col min="8" max="8" width="12.88671875" customWidth="1"/>
    <col min="9" max="9" width="10.33203125" customWidth="1"/>
  </cols>
  <sheetData>
    <row r="1" spans="1:14" x14ac:dyDescent="0.3">
      <c r="A1" t="s">
        <v>0</v>
      </c>
      <c r="B1" t="s">
        <v>1</v>
      </c>
      <c r="C1" t="s">
        <v>2</v>
      </c>
      <c r="D1" t="s">
        <v>3</v>
      </c>
      <c r="E1" t="s">
        <v>4</v>
      </c>
      <c r="F1" t="s">
        <v>5</v>
      </c>
      <c r="G1" t="s">
        <v>6</v>
      </c>
      <c r="H1" t="s">
        <v>7</v>
      </c>
      <c r="I1" t="s">
        <v>8</v>
      </c>
      <c r="J1" t="s">
        <v>9</v>
      </c>
      <c r="K1" t="s">
        <v>10</v>
      </c>
      <c r="L1" t="s">
        <v>11</v>
      </c>
      <c r="M1" t="s">
        <v>854</v>
      </c>
      <c r="N1" t="s">
        <v>855</v>
      </c>
    </row>
    <row r="2" spans="1:14" x14ac:dyDescent="0.3">
      <c r="A2" t="s">
        <v>20</v>
      </c>
      <c r="B2" t="s">
        <v>21</v>
      </c>
      <c r="C2" t="s">
        <v>22</v>
      </c>
      <c r="D2" t="s">
        <v>23</v>
      </c>
      <c r="E2" t="s">
        <v>24</v>
      </c>
      <c r="F2" t="s">
        <v>25</v>
      </c>
      <c r="G2" t="s">
        <v>26</v>
      </c>
      <c r="H2" t="s">
        <v>27</v>
      </c>
      <c r="I2">
        <v>6</v>
      </c>
      <c r="J2">
        <v>4701.78</v>
      </c>
      <c r="K2">
        <v>3190.5</v>
      </c>
      <c r="L2">
        <v>1511.28</v>
      </c>
      <c r="M2" s="5" t="str">
        <f>TEXT(Table2[[#This Row],[Order Date]],"mm")</f>
        <v>01</v>
      </c>
      <c r="N2">
        <f>YEAR(Table2[[#This Row],[Order Date]])</f>
        <v>2025</v>
      </c>
    </row>
    <row r="3" spans="1:14" x14ac:dyDescent="0.3">
      <c r="A3" t="s">
        <v>124</v>
      </c>
      <c r="B3" t="s">
        <v>125</v>
      </c>
      <c r="C3" t="s">
        <v>113</v>
      </c>
      <c r="D3" t="s">
        <v>54</v>
      </c>
      <c r="E3" t="s">
        <v>75</v>
      </c>
      <c r="F3" t="s">
        <v>50</v>
      </c>
      <c r="G3" t="s">
        <v>80</v>
      </c>
      <c r="H3" t="s">
        <v>19</v>
      </c>
      <c r="I3">
        <v>8</v>
      </c>
      <c r="J3">
        <v>12771.36</v>
      </c>
      <c r="K3">
        <v>9710.08</v>
      </c>
      <c r="L3">
        <v>3061.28</v>
      </c>
      <c r="M3" s="5" t="str">
        <f>TEXT(Table2[[#This Row],[Order Date]],"mm")</f>
        <v>01</v>
      </c>
      <c r="N3">
        <f>YEAR(Table2[[#This Row],[Order Date]])</f>
        <v>2025</v>
      </c>
    </row>
    <row r="4" spans="1:14" x14ac:dyDescent="0.3">
      <c r="A4" t="s">
        <v>146</v>
      </c>
      <c r="B4" t="s">
        <v>147</v>
      </c>
      <c r="C4" t="s">
        <v>113</v>
      </c>
      <c r="D4" t="s">
        <v>48</v>
      </c>
      <c r="E4" t="s">
        <v>84</v>
      </c>
      <c r="F4" t="s">
        <v>25</v>
      </c>
      <c r="G4" t="s">
        <v>71</v>
      </c>
      <c r="H4" t="s">
        <v>64</v>
      </c>
      <c r="I4">
        <v>8</v>
      </c>
      <c r="J4">
        <v>12981.04</v>
      </c>
      <c r="K4">
        <v>9032.48</v>
      </c>
      <c r="L4">
        <v>3948.56</v>
      </c>
      <c r="M4" s="5" t="str">
        <f>TEXT(Table2[[#This Row],[Order Date]],"mm")</f>
        <v>01</v>
      </c>
      <c r="N4">
        <f>YEAR(Table2[[#This Row],[Order Date]])</f>
        <v>2025</v>
      </c>
    </row>
    <row r="5" spans="1:14" x14ac:dyDescent="0.3">
      <c r="A5" t="s">
        <v>192</v>
      </c>
      <c r="B5" t="s">
        <v>193</v>
      </c>
      <c r="C5" t="s">
        <v>83</v>
      </c>
      <c r="D5" t="s">
        <v>48</v>
      </c>
      <c r="E5" t="s">
        <v>67</v>
      </c>
      <c r="F5" t="s">
        <v>17</v>
      </c>
      <c r="G5" t="s">
        <v>63</v>
      </c>
      <c r="H5" t="s">
        <v>60</v>
      </c>
      <c r="I5">
        <v>5</v>
      </c>
      <c r="J5">
        <v>1624.75</v>
      </c>
      <c r="K5">
        <v>1183.6500000000001</v>
      </c>
      <c r="L5">
        <v>441.1</v>
      </c>
      <c r="M5" s="5" t="str">
        <f>TEXT(Table2[[#This Row],[Order Date]],"mm")</f>
        <v>01</v>
      </c>
      <c r="N5">
        <f>YEAR(Table2[[#This Row],[Order Date]])</f>
        <v>2025</v>
      </c>
    </row>
    <row r="6" spans="1:14" x14ac:dyDescent="0.3">
      <c r="A6" t="s">
        <v>194</v>
      </c>
      <c r="B6" t="s">
        <v>195</v>
      </c>
      <c r="C6" t="s">
        <v>30</v>
      </c>
      <c r="D6" t="s">
        <v>15</v>
      </c>
      <c r="E6" t="s">
        <v>31</v>
      </c>
      <c r="F6" t="s">
        <v>25</v>
      </c>
      <c r="G6" t="s">
        <v>26</v>
      </c>
      <c r="H6" t="s">
        <v>44</v>
      </c>
      <c r="I6">
        <v>6</v>
      </c>
      <c r="J6">
        <v>5879.16</v>
      </c>
      <c r="K6">
        <v>4595.76</v>
      </c>
      <c r="L6">
        <v>1283.4000000000001</v>
      </c>
      <c r="M6" s="5" t="str">
        <f>TEXT(Table2[[#This Row],[Order Date]],"mm")</f>
        <v>01</v>
      </c>
      <c r="N6">
        <f>YEAR(Table2[[#This Row],[Order Date]])</f>
        <v>2025</v>
      </c>
    </row>
    <row r="7" spans="1:14" x14ac:dyDescent="0.3">
      <c r="A7" t="s">
        <v>266</v>
      </c>
      <c r="B7" t="s">
        <v>267</v>
      </c>
      <c r="C7" t="s">
        <v>263</v>
      </c>
      <c r="D7" t="s">
        <v>54</v>
      </c>
      <c r="E7" t="s">
        <v>55</v>
      </c>
      <c r="F7" t="s">
        <v>50</v>
      </c>
      <c r="G7" t="s">
        <v>95</v>
      </c>
      <c r="H7" t="s">
        <v>27</v>
      </c>
      <c r="I7">
        <v>6</v>
      </c>
      <c r="J7">
        <v>4874.28</v>
      </c>
      <c r="K7">
        <v>4044</v>
      </c>
      <c r="L7">
        <v>830.28</v>
      </c>
      <c r="M7" s="5" t="str">
        <f>TEXT(Table2[[#This Row],[Order Date]],"mm")</f>
        <v>01</v>
      </c>
      <c r="N7">
        <f>YEAR(Table2[[#This Row],[Order Date]])</f>
        <v>2025</v>
      </c>
    </row>
    <row r="8" spans="1:14" x14ac:dyDescent="0.3">
      <c r="A8" t="s">
        <v>298</v>
      </c>
      <c r="B8" t="s">
        <v>147</v>
      </c>
      <c r="C8" t="s">
        <v>83</v>
      </c>
      <c r="D8" t="s">
        <v>54</v>
      </c>
      <c r="E8" t="s">
        <v>55</v>
      </c>
      <c r="F8" t="s">
        <v>17</v>
      </c>
      <c r="G8" t="s">
        <v>76</v>
      </c>
      <c r="H8" t="s">
        <v>44</v>
      </c>
      <c r="I8">
        <v>9</v>
      </c>
      <c r="J8">
        <v>11028.96</v>
      </c>
      <c r="K8">
        <v>7732.53</v>
      </c>
      <c r="L8">
        <v>3296.43</v>
      </c>
      <c r="M8" s="5" t="str">
        <f>TEXT(Table2[[#This Row],[Order Date]],"mm")</f>
        <v>01</v>
      </c>
      <c r="N8">
        <f>YEAR(Table2[[#This Row],[Order Date]])</f>
        <v>2025</v>
      </c>
    </row>
    <row r="9" spans="1:14" x14ac:dyDescent="0.3">
      <c r="A9" t="s">
        <v>309</v>
      </c>
      <c r="B9" t="s">
        <v>310</v>
      </c>
      <c r="C9" t="s">
        <v>132</v>
      </c>
      <c r="D9" t="s">
        <v>15</v>
      </c>
      <c r="E9" t="s">
        <v>31</v>
      </c>
      <c r="F9" t="s">
        <v>25</v>
      </c>
      <c r="G9" t="s">
        <v>32</v>
      </c>
      <c r="H9" t="s">
        <v>64</v>
      </c>
      <c r="I9">
        <v>10</v>
      </c>
      <c r="J9">
        <v>21940.5</v>
      </c>
      <c r="K9">
        <v>15556.5</v>
      </c>
      <c r="L9">
        <v>6384</v>
      </c>
      <c r="M9" s="5" t="str">
        <f>TEXT(Table2[[#This Row],[Order Date]],"mm")</f>
        <v>01</v>
      </c>
      <c r="N9">
        <f>YEAR(Table2[[#This Row],[Order Date]])</f>
        <v>2025</v>
      </c>
    </row>
    <row r="10" spans="1:14" x14ac:dyDescent="0.3">
      <c r="A10" t="s">
        <v>316</v>
      </c>
      <c r="B10" t="s">
        <v>317</v>
      </c>
      <c r="C10" t="s">
        <v>22</v>
      </c>
      <c r="D10" t="s">
        <v>15</v>
      </c>
      <c r="E10" t="s">
        <v>31</v>
      </c>
      <c r="F10" t="s">
        <v>25</v>
      </c>
      <c r="G10" t="s">
        <v>26</v>
      </c>
      <c r="H10" t="s">
        <v>39</v>
      </c>
      <c r="I10">
        <v>1</v>
      </c>
      <c r="J10">
        <v>2474.94</v>
      </c>
      <c r="K10">
        <v>1582.54</v>
      </c>
      <c r="L10">
        <v>892.4</v>
      </c>
      <c r="M10" s="5" t="str">
        <f>TEXT(Table2[[#This Row],[Order Date]],"mm")</f>
        <v>01</v>
      </c>
      <c r="N10">
        <f>YEAR(Table2[[#This Row],[Order Date]])</f>
        <v>2025</v>
      </c>
    </row>
    <row r="11" spans="1:14" x14ac:dyDescent="0.3">
      <c r="A11" t="s">
        <v>318</v>
      </c>
      <c r="B11" t="s">
        <v>319</v>
      </c>
      <c r="C11" t="s">
        <v>113</v>
      </c>
      <c r="D11" t="s">
        <v>15</v>
      </c>
      <c r="E11" t="s">
        <v>31</v>
      </c>
      <c r="F11" t="s">
        <v>17</v>
      </c>
      <c r="G11" t="s">
        <v>116</v>
      </c>
      <c r="H11" t="s">
        <v>39</v>
      </c>
      <c r="I11">
        <v>1</v>
      </c>
      <c r="J11">
        <v>1148.3</v>
      </c>
      <c r="K11">
        <v>727.72</v>
      </c>
      <c r="L11">
        <v>420.58</v>
      </c>
      <c r="M11" s="5" t="str">
        <f>TEXT(Table2[[#This Row],[Order Date]],"mm")</f>
        <v>01</v>
      </c>
      <c r="N11">
        <f>YEAR(Table2[[#This Row],[Order Date]])</f>
        <v>2025</v>
      </c>
    </row>
    <row r="12" spans="1:14" x14ac:dyDescent="0.3">
      <c r="A12" t="s">
        <v>320</v>
      </c>
      <c r="B12" t="s">
        <v>321</v>
      </c>
      <c r="C12" t="s">
        <v>103</v>
      </c>
      <c r="D12" t="s">
        <v>23</v>
      </c>
      <c r="E12" t="s">
        <v>37</v>
      </c>
      <c r="F12" t="s">
        <v>17</v>
      </c>
      <c r="G12" t="s">
        <v>116</v>
      </c>
      <c r="H12" t="s">
        <v>60</v>
      </c>
      <c r="I12">
        <v>8</v>
      </c>
      <c r="J12">
        <v>6711.84</v>
      </c>
      <c r="K12">
        <v>5239.6000000000004</v>
      </c>
      <c r="L12">
        <v>1472.24</v>
      </c>
      <c r="M12" s="5" t="str">
        <f>TEXT(Table2[[#This Row],[Order Date]],"mm")</f>
        <v>01</v>
      </c>
      <c r="N12">
        <f>YEAR(Table2[[#This Row],[Order Date]])</f>
        <v>2025</v>
      </c>
    </row>
    <row r="13" spans="1:14" x14ac:dyDescent="0.3">
      <c r="A13" t="s">
        <v>344</v>
      </c>
      <c r="B13" t="s">
        <v>345</v>
      </c>
      <c r="C13" t="s">
        <v>263</v>
      </c>
      <c r="D13" t="s">
        <v>54</v>
      </c>
      <c r="E13" t="s">
        <v>55</v>
      </c>
      <c r="F13" t="s">
        <v>17</v>
      </c>
      <c r="G13" t="s">
        <v>63</v>
      </c>
      <c r="H13" t="s">
        <v>44</v>
      </c>
      <c r="I13">
        <v>6</v>
      </c>
      <c r="J13">
        <v>2349.6</v>
      </c>
      <c r="K13">
        <v>1626.48</v>
      </c>
      <c r="L13">
        <v>723.12</v>
      </c>
      <c r="M13" s="5" t="str">
        <f>TEXT(Table2[[#This Row],[Order Date]],"mm")</f>
        <v>01</v>
      </c>
      <c r="N13">
        <f>YEAR(Table2[[#This Row],[Order Date]])</f>
        <v>2025</v>
      </c>
    </row>
    <row r="14" spans="1:14" x14ac:dyDescent="0.3">
      <c r="A14" t="s">
        <v>348</v>
      </c>
      <c r="B14" t="s">
        <v>349</v>
      </c>
      <c r="C14" t="s">
        <v>94</v>
      </c>
      <c r="D14" t="s">
        <v>54</v>
      </c>
      <c r="E14" t="s">
        <v>75</v>
      </c>
      <c r="F14" t="s">
        <v>50</v>
      </c>
      <c r="G14" t="s">
        <v>95</v>
      </c>
      <c r="H14" t="s">
        <v>44</v>
      </c>
      <c r="I14">
        <v>7</v>
      </c>
      <c r="J14">
        <v>14508.97</v>
      </c>
      <c r="K14">
        <v>10405.709999999999</v>
      </c>
      <c r="L14">
        <v>4103.26</v>
      </c>
      <c r="M14" s="5" t="str">
        <f>TEXT(Table2[[#This Row],[Order Date]],"mm")</f>
        <v>01</v>
      </c>
      <c r="N14">
        <f>YEAR(Table2[[#This Row],[Order Date]])</f>
        <v>2025</v>
      </c>
    </row>
    <row r="15" spans="1:14" x14ac:dyDescent="0.3">
      <c r="A15" t="s">
        <v>413</v>
      </c>
      <c r="B15" t="s">
        <v>310</v>
      </c>
      <c r="C15" t="s">
        <v>94</v>
      </c>
      <c r="D15" t="s">
        <v>23</v>
      </c>
      <c r="E15" t="s">
        <v>43</v>
      </c>
      <c r="F15" t="s">
        <v>50</v>
      </c>
      <c r="G15" t="s">
        <v>80</v>
      </c>
      <c r="H15" t="s">
        <v>64</v>
      </c>
      <c r="I15">
        <v>5</v>
      </c>
      <c r="J15">
        <v>11125.55</v>
      </c>
      <c r="K15">
        <v>8616.9500000000007</v>
      </c>
      <c r="L15">
        <v>2508.6</v>
      </c>
      <c r="M15" s="5" t="str">
        <f>TEXT(Table2[[#This Row],[Order Date]],"mm")</f>
        <v>01</v>
      </c>
      <c r="N15">
        <f>YEAR(Table2[[#This Row],[Order Date]])</f>
        <v>2025</v>
      </c>
    </row>
    <row r="16" spans="1:14" x14ac:dyDescent="0.3">
      <c r="A16" t="s">
        <v>416</v>
      </c>
      <c r="B16" t="s">
        <v>417</v>
      </c>
      <c r="C16" t="s">
        <v>263</v>
      </c>
      <c r="D16" t="s">
        <v>48</v>
      </c>
      <c r="E16" t="s">
        <v>49</v>
      </c>
      <c r="F16" t="s">
        <v>17</v>
      </c>
      <c r="G16" t="s">
        <v>76</v>
      </c>
      <c r="H16" t="s">
        <v>27</v>
      </c>
      <c r="I16">
        <v>9</v>
      </c>
      <c r="J16">
        <v>20310.75</v>
      </c>
      <c r="K16">
        <v>15436.35</v>
      </c>
      <c r="L16">
        <v>4874.3999999999996</v>
      </c>
      <c r="M16" s="5" t="str">
        <f>TEXT(Table2[[#This Row],[Order Date]],"mm")</f>
        <v>01</v>
      </c>
      <c r="N16">
        <f>YEAR(Table2[[#This Row],[Order Date]])</f>
        <v>2025</v>
      </c>
    </row>
    <row r="17" spans="1:14" x14ac:dyDescent="0.3">
      <c r="A17" t="s">
        <v>440</v>
      </c>
      <c r="B17" t="s">
        <v>267</v>
      </c>
      <c r="C17" t="s">
        <v>106</v>
      </c>
      <c r="D17" t="s">
        <v>54</v>
      </c>
      <c r="E17" t="s">
        <v>75</v>
      </c>
      <c r="F17" t="s">
        <v>25</v>
      </c>
      <c r="G17" t="s">
        <v>71</v>
      </c>
      <c r="H17" t="s">
        <v>85</v>
      </c>
      <c r="I17">
        <v>9</v>
      </c>
      <c r="J17">
        <v>2436.9299999999998</v>
      </c>
      <c r="K17">
        <v>1708.2</v>
      </c>
      <c r="L17">
        <v>728.73</v>
      </c>
      <c r="M17" s="5" t="str">
        <f>TEXT(Table2[[#This Row],[Order Date]],"mm")</f>
        <v>01</v>
      </c>
      <c r="N17">
        <f>YEAR(Table2[[#This Row],[Order Date]])</f>
        <v>2025</v>
      </c>
    </row>
    <row r="18" spans="1:14" x14ac:dyDescent="0.3">
      <c r="A18" t="s">
        <v>457</v>
      </c>
      <c r="B18" t="s">
        <v>458</v>
      </c>
      <c r="C18" t="s">
        <v>70</v>
      </c>
      <c r="D18" t="s">
        <v>23</v>
      </c>
      <c r="E18" t="s">
        <v>37</v>
      </c>
      <c r="F18" t="s">
        <v>25</v>
      </c>
      <c r="G18" t="s">
        <v>32</v>
      </c>
      <c r="H18" t="s">
        <v>64</v>
      </c>
      <c r="I18">
        <v>6</v>
      </c>
      <c r="J18">
        <v>6679.5</v>
      </c>
      <c r="K18">
        <v>4715.82</v>
      </c>
      <c r="L18">
        <v>1963.68</v>
      </c>
      <c r="M18" s="5" t="str">
        <f>TEXT(Table2[[#This Row],[Order Date]],"mm")</f>
        <v>01</v>
      </c>
      <c r="N18">
        <f>YEAR(Table2[[#This Row],[Order Date]])</f>
        <v>2025</v>
      </c>
    </row>
    <row r="19" spans="1:14" x14ac:dyDescent="0.3">
      <c r="A19" t="s">
        <v>492</v>
      </c>
      <c r="B19" t="s">
        <v>349</v>
      </c>
      <c r="C19" t="s">
        <v>14</v>
      </c>
      <c r="D19" t="s">
        <v>54</v>
      </c>
      <c r="E19" t="s">
        <v>98</v>
      </c>
      <c r="F19" t="s">
        <v>25</v>
      </c>
      <c r="G19" t="s">
        <v>71</v>
      </c>
      <c r="H19" t="s">
        <v>85</v>
      </c>
      <c r="I19">
        <v>3</v>
      </c>
      <c r="J19">
        <v>1091.0999999999999</v>
      </c>
      <c r="K19">
        <v>769.02</v>
      </c>
      <c r="L19">
        <v>322.08</v>
      </c>
      <c r="M19" s="5" t="str">
        <f>TEXT(Table2[[#This Row],[Order Date]],"mm")</f>
        <v>01</v>
      </c>
      <c r="N19">
        <f>YEAR(Table2[[#This Row],[Order Date]])</f>
        <v>2025</v>
      </c>
    </row>
    <row r="20" spans="1:14" x14ac:dyDescent="0.3">
      <c r="A20" t="s">
        <v>503</v>
      </c>
      <c r="B20" t="s">
        <v>310</v>
      </c>
      <c r="C20" t="s">
        <v>83</v>
      </c>
      <c r="D20" t="s">
        <v>48</v>
      </c>
      <c r="E20" t="s">
        <v>84</v>
      </c>
      <c r="F20" t="s">
        <v>25</v>
      </c>
      <c r="G20" t="s">
        <v>26</v>
      </c>
      <c r="H20" t="s">
        <v>33</v>
      </c>
      <c r="I20">
        <v>3</v>
      </c>
      <c r="J20">
        <v>6943.08</v>
      </c>
      <c r="K20">
        <v>4463.6099999999997</v>
      </c>
      <c r="L20">
        <v>2479.4699999999998</v>
      </c>
      <c r="M20" s="5" t="str">
        <f>TEXT(Table2[[#This Row],[Order Date]],"mm")</f>
        <v>01</v>
      </c>
      <c r="N20">
        <f>YEAR(Table2[[#This Row],[Order Date]])</f>
        <v>2025</v>
      </c>
    </row>
    <row r="21" spans="1:14" x14ac:dyDescent="0.3">
      <c r="A21" t="s">
        <v>520</v>
      </c>
      <c r="B21" t="s">
        <v>321</v>
      </c>
      <c r="C21" t="s">
        <v>22</v>
      </c>
      <c r="D21" t="s">
        <v>54</v>
      </c>
      <c r="E21" t="s">
        <v>75</v>
      </c>
      <c r="F21" t="s">
        <v>17</v>
      </c>
      <c r="G21" t="s">
        <v>76</v>
      </c>
      <c r="H21" t="s">
        <v>19</v>
      </c>
      <c r="I21">
        <v>2</v>
      </c>
      <c r="J21">
        <v>4917.8</v>
      </c>
      <c r="K21">
        <v>3731.5</v>
      </c>
      <c r="L21">
        <v>1186.3</v>
      </c>
      <c r="M21" s="5" t="str">
        <f>TEXT(Table2[[#This Row],[Order Date]],"mm")</f>
        <v>01</v>
      </c>
      <c r="N21">
        <f>YEAR(Table2[[#This Row],[Order Date]])</f>
        <v>2025</v>
      </c>
    </row>
    <row r="22" spans="1:14" x14ac:dyDescent="0.3">
      <c r="A22" t="s">
        <v>527</v>
      </c>
      <c r="B22" t="s">
        <v>345</v>
      </c>
      <c r="C22" t="s">
        <v>42</v>
      </c>
      <c r="D22" t="s">
        <v>15</v>
      </c>
      <c r="E22" t="s">
        <v>16</v>
      </c>
      <c r="F22" t="s">
        <v>17</v>
      </c>
      <c r="G22" t="s">
        <v>116</v>
      </c>
      <c r="H22" t="s">
        <v>60</v>
      </c>
      <c r="I22">
        <v>1</v>
      </c>
      <c r="J22">
        <v>2204.2600000000002</v>
      </c>
      <c r="K22">
        <v>1469.82</v>
      </c>
      <c r="L22">
        <v>734.44</v>
      </c>
      <c r="M22" s="5" t="str">
        <f>TEXT(Table2[[#This Row],[Order Date]],"mm")</f>
        <v>01</v>
      </c>
      <c r="N22">
        <f>YEAR(Table2[[#This Row],[Order Date]])</f>
        <v>2025</v>
      </c>
    </row>
    <row r="23" spans="1:14" x14ac:dyDescent="0.3">
      <c r="A23" t="s">
        <v>560</v>
      </c>
      <c r="B23" t="s">
        <v>561</v>
      </c>
      <c r="C23" t="s">
        <v>22</v>
      </c>
      <c r="D23" t="s">
        <v>23</v>
      </c>
      <c r="E23" t="s">
        <v>59</v>
      </c>
      <c r="F23" t="s">
        <v>17</v>
      </c>
      <c r="G23" t="s">
        <v>18</v>
      </c>
      <c r="H23" t="s">
        <v>64</v>
      </c>
      <c r="I23">
        <v>4</v>
      </c>
      <c r="J23">
        <v>11236.8</v>
      </c>
      <c r="K23">
        <v>7899.44</v>
      </c>
      <c r="L23">
        <v>3337.36</v>
      </c>
      <c r="M23" s="5" t="str">
        <f>TEXT(Table2[[#This Row],[Order Date]],"mm")</f>
        <v>01</v>
      </c>
      <c r="N23">
        <f>YEAR(Table2[[#This Row],[Order Date]])</f>
        <v>2025</v>
      </c>
    </row>
    <row r="24" spans="1:14" x14ac:dyDescent="0.3">
      <c r="A24" t="s">
        <v>600</v>
      </c>
      <c r="B24" t="s">
        <v>601</v>
      </c>
      <c r="C24" t="s">
        <v>103</v>
      </c>
      <c r="D24" t="s">
        <v>48</v>
      </c>
      <c r="E24" t="s">
        <v>67</v>
      </c>
      <c r="F24" t="s">
        <v>50</v>
      </c>
      <c r="G24" t="s">
        <v>110</v>
      </c>
      <c r="H24" t="s">
        <v>19</v>
      </c>
      <c r="I24">
        <v>5</v>
      </c>
      <c r="J24">
        <v>7847.7</v>
      </c>
      <c r="K24">
        <v>5123.05</v>
      </c>
      <c r="L24">
        <v>2724.65</v>
      </c>
      <c r="M24" s="5" t="str">
        <f>TEXT(Table2[[#This Row],[Order Date]],"mm")</f>
        <v>01</v>
      </c>
      <c r="N24">
        <f>YEAR(Table2[[#This Row],[Order Date]])</f>
        <v>2025</v>
      </c>
    </row>
    <row r="25" spans="1:14" x14ac:dyDescent="0.3">
      <c r="A25" t="s">
        <v>608</v>
      </c>
      <c r="B25" t="s">
        <v>125</v>
      </c>
      <c r="C25" t="s">
        <v>103</v>
      </c>
      <c r="D25" t="s">
        <v>48</v>
      </c>
      <c r="E25" t="s">
        <v>107</v>
      </c>
      <c r="F25" t="s">
        <v>50</v>
      </c>
      <c r="G25" t="s">
        <v>95</v>
      </c>
      <c r="H25" t="s">
        <v>44</v>
      </c>
      <c r="I25">
        <v>6</v>
      </c>
      <c r="J25">
        <v>3028.14</v>
      </c>
      <c r="K25">
        <v>2229.2399999999998</v>
      </c>
      <c r="L25">
        <v>798.9</v>
      </c>
      <c r="M25" s="5" t="str">
        <f>TEXT(Table2[[#This Row],[Order Date]],"mm")</f>
        <v>01</v>
      </c>
      <c r="N25">
        <f>YEAR(Table2[[#This Row],[Order Date]])</f>
        <v>2025</v>
      </c>
    </row>
    <row r="26" spans="1:14" x14ac:dyDescent="0.3">
      <c r="A26" t="s">
        <v>611</v>
      </c>
      <c r="B26" t="s">
        <v>147</v>
      </c>
      <c r="C26" t="s">
        <v>206</v>
      </c>
      <c r="D26" t="s">
        <v>54</v>
      </c>
      <c r="E26" t="s">
        <v>75</v>
      </c>
      <c r="F26" t="s">
        <v>25</v>
      </c>
      <c r="G26" t="s">
        <v>32</v>
      </c>
      <c r="H26" t="s">
        <v>64</v>
      </c>
      <c r="I26">
        <v>2</v>
      </c>
      <c r="J26">
        <v>4403.3599999999997</v>
      </c>
      <c r="K26">
        <v>3246.16</v>
      </c>
      <c r="L26">
        <v>1157.2</v>
      </c>
      <c r="M26" s="5" t="str">
        <f>TEXT(Table2[[#This Row],[Order Date]],"mm")</f>
        <v>01</v>
      </c>
      <c r="N26">
        <f>YEAR(Table2[[#This Row],[Order Date]])</f>
        <v>2025</v>
      </c>
    </row>
    <row r="27" spans="1:14" x14ac:dyDescent="0.3">
      <c r="A27" t="s">
        <v>619</v>
      </c>
      <c r="B27" t="s">
        <v>193</v>
      </c>
      <c r="C27" t="s">
        <v>47</v>
      </c>
      <c r="D27" t="s">
        <v>54</v>
      </c>
      <c r="E27" t="s">
        <v>55</v>
      </c>
      <c r="F27" t="s">
        <v>17</v>
      </c>
      <c r="G27" t="s">
        <v>63</v>
      </c>
      <c r="H27" t="s">
        <v>64</v>
      </c>
      <c r="I27">
        <v>1</v>
      </c>
      <c r="J27">
        <v>2575.59</v>
      </c>
      <c r="K27">
        <v>1825.4</v>
      </c>
      <c r="L27">
        <v>750.19</v>
      </c>
      <c r="M27" s="5" t="str">
        <f>TEXT(Table2[[#This Row],[Order Date]],"mm")</f>
        <v>01</v>
      </c>
      <c r="N27">
        <f>YEAR(Table2[[#This Row],[Order Date]])</f>
        <v>2025</v>
      </c>
    </row>
    <row r="28" spans="1:14" x14ac:dyDescent="0.3">
      <c r="A28" t="s">
        <v>627</v>
      </c>
      <c r="B28" t="s">
        <v>21</v>
      </c>
      <c r="C28" t="s">
        <v>79</v>
      </c>
      <c r="D28" t="s">
        <v>54</v>
      </c>
      <c r="E28" t="s">
        <v>75</v>
      </c>
      <c r="F28" t="s">
        <v>50</v>
      </c>
      <c r="G28" t="s">
        <v>110</v>
      </c>
      <c r="H28" t="s">
        <v>39</v>
      </c>
      <c r="I28">
        <v>9</v>
      </c>
      <c r="J28">
        <v>19005.84</v>
      </c>
      <c r="K28">
        <v>13360.68</v>
      </c>
      <c r="L28">
        <v>5645.16</v>
      </c>
      <c r="M28" s="5" t="str">
        <f>TEXT(Table2[[#This Row],[Order Date]],"mm")</f>
        <v>01</v>
      </c>
      <c r="N28">
        <f>YEAR(Table2[[#This Row],[Order Date]])</f>
        <v>2025</v>
      </c>
    </row>
    <row r="29" spans="1:14" x14ac:dyDescent="0.3">
      <c r="A29" t="s">
        <v>628</v>
      </c>
      <c r="B29" t="s">
        <v>629</v>
      </c>
      <c r="C29" t="s">
        <v>263</v>
      </c>
      <c r="D29" t="s">
        <v>15</v>
      </c>
      <c r="E29" t="s">
        <v>16</v>
      </c>
      <c r="F29" t="s">
        <v>17</v>
      </c>
      <c r="G29" t="s">
        <v>18</v>
      </c>
      <c r="H29" t="s">
        <v>60</v>
      </c>
      <c r="I29">
        <v>4</v>
      </c>
      <c r="J29">
        <v>3938.76</v>
      </c>
      <c r="K29">
        <v>2489.36</v>
      </c>
      <c r="L29">
        <v>1449.4</v>
      </c>
      <c r="M29" s="5" t="str">
        <f>TEXT(Table2[[#This Row],[Order Date]],"mm")</f>
        <v>01</v>
      </c>
      <c r="N29">
        <f>YEAR(Table2[[#This Row],[Order Date]])</f>
        <v>2025</v>
      </c>
    </row>
    <row r="30" spans="1:14" x14ac:dyDescent="0.3">
      <c r="A30" t="s">
        <v>646</v>
      </c>
      <c r="B30" t="s">
        <v>647</v>
      </c>
      <c r="C30" t="s">
        <v>263</v>
      </c>
      <c r="D30" t="s">
        <v>15</v>
      </c>
      <c r="E30" t="s">
        <v>183</v>
      </c>
      <c r="F30" t="s">
        <v>25</v>
      </c>
      <c r="G30" t="s">
        <v>32</v>
      </c>
      <c r="H30" t="s">
        <v>60</v>
      </c>
      <c r="I30">
        <v>5</v>
      </c>
      <c r="J30">
        <v>2133.8000000000002</v>
      </c>
      <c r="K30">
        <v>1357.45</v>
      </c>
      <c r="L30">
        <v>776.35</v>
      </c>
      <c r="M30" s="5" t="str">
        <f>TEXT(Table2[[#This Row],[Order Date]],"mm")</f>
        <v>01</v>
      </c>
      <c r="N30">
        <f>YEAR(Table2[[#This Row],[Order Date]])</f>
        <v>2025</v>
      </c>
    </row>
    <row r="31" spans="1:14" x14ac:dyDescent="0.3">
      <c r="A31" t="s">
        <v>701</v>
      </c>
      <c r="B31" t="s">
        <v>702</v>
      </c>
      <c r="C31" t="s">
        <v>143</v>
      </c>
      <c r="D31" t="s">
        <v>15</v>
      </c>
      <c r="E31" t="s">
        <v>183</v>
      </c>
      <c r="F31" t="s">
        <v>50</v>
      </c>
      <c r="G31" t="s">
        <v>134</v>
      </c>
      <c r="H31" t="s">
        <v>27</v>
      </c>
      <c r="I31">
        <v>10</v>
      </c>
      <c r="J31">
        <v>20082.900000000001</v>
      </c>
      <c r="K31">
        <v>14558.6</v>
      </c>
      <c r="L31">
        <v>5524.3</v>
      </c>
      <c r="M31" s="5" t="str">
        <f>TEXT(Table2[[#This Row],[Order Date]],"mm")</f>
        <v>01</v>
      </c>
      <c r="N31">
        <f>YEAR(Table2[[#This Row],[Order Date]])</f>
        <v>2025</v>
      </c>
    </row>
    <row r="32" spans="1:14" x14ac:dyDescent="0.3">
      <c r="A32" t="s">
        <v>706</v>
      </c>
      <c r="B32" t="s">
        <v>193</v>
      </c>
      <c r="C32" t="s">
        <v>132</v>
      </c>
      <c r="D32" t="s">
        <v>54</v>
      </c>
      <c r="E32" t="s">
        <v>98</v>
      </c>
      <c r="F32" t="s">
        <v>50</v>
      </c>
      <c r="G32" t="s">
        <v>51</v>
      </c>
      <c r="H32" t="s">
        <v>44</v>
      </c>
      <c r="I32">
        <v>10</v>
      </c>
      <c r="J32">
        <v>2422.8000000000002</v>
      </c>
      <c r="K32">
        <v>1766.3</v>
      </c>
      <c r="L32">
        <v>656.5</v>
      </c>
      <c r="M32" s="5" t="str">
        <f>TEXT(Table2[[#This Row],[Order Date]],"mm")</f>
        <v>01</v>
      </c>
      <c r="N32">
        <f>YEAR(Table2[[#This Row],[Order Date]])</f>
        <v>2025</v>
      </c>
    </row>
    <row r="33" spans="1:14" x14ac:dyDescent="0.3">
      <c r="A33" t="s">
        <v>719</v>
      </c>
      <c r="B33" t="s">
        <v>720</v>
      </c>
      <c r="C33" t="s">
        <v>22</v>
      </c>
      <c r="D33" t="s">
        <v>15</v>
      </c>
      <c r="E33" t="s">
        <v>16</v>
      </c>
      <c r="F33" t="s">
        <v>50</v>
      </c>
      <c r="G33" t="s">
        <v>51</v>
      </c>
      <c r="H33" t="s">
        <v>44</v>
      </c>
      <c r="I33">
        <v>5</v>
      </c>
      <c r="J33">
        <v>654.45000000000005</v>
      </c>
      <c r="K33">
        <v>537.70000000000005</v>
      </c>
      <c r="L33">
        <v>116.75</v>
      </c>
      <c r="M33" s="5" t="str">
        <f>TEXT(Table2[[#This Row],[Order Date]],"mm")</f>
        <v>01</v>
      </c>
      <c r="N33">
        <f>YEAR(Table2[[#This Row],[Order Date]])</f>
        <v>2025</v>
      </c>
    </row>
    <row r="34" spans="1:14" x14ac:dyDescent="0.3">
      <c r="A34" t="s">
        <v>728</v>
      </c>
      <c r="B34" t="s">
        <v>729</v>
      </c>
      <c r="C34" t="s">
        <v>132</v>
      </c>
      <c r="D34" t="s">
        <v>54</v>
      </c>
      <c r="E34" t="s">
        <v>133</v>
      </c>
      <c r="F34" t="s">
        <v>17</v>
      </c>
      <c r="G34" t="s">
        <v>38</v>
      </c>
      <c r="H34" t="s">
        <v>33</v>
      </c>
      <c r="I34">
        <v>1</v>
      </c>
      <c r="J34">
        <v>2267.84</v>
      </c>
      <c r="K34">
        <v>1479.37</v>
      </c>
      <c r="L34">
        <v>788.47</v>
      </c>
      <c r="M34" s="5" t="str">
        <f>TEXT(Table2[[#This Row],[Order Date]],"mm")</f>
        <v>01</v>
      </c>
      <c r="N34">
        <f>YEAR(Table2[[#This Row],[Order Date]])</f>
        <v>2025</v>
      </c>
    </row>
    <row r="35" spans="1:14" x14ac:dyDescent="0.3">
      <c r="A35" t="s">
        <v>730</v>
      </c>
      <c r="B35" t="s">
        <v>458</v>
      </c>
      <c r="C35" t="s">
        <v>70</v>
      </c>
      <c r="D35" t="s">
        <v>48</v>
      </c>
      <c r="E35" t="s">
        <v>49</v>
      </c>
      <c r="F35" t="s">
        <v>25</v>
      </c>
      <c r="G35" t="s">
        <v>26</v>
      </c>
      <c r="H35" t="s">
        <v>64</v>
      </c>
      <c r="I35">
        <v>7</v>
      </c>
      <c r="J35">
        <v>14165.06</v>
      </c>
      <c r="K35">
        <v>11998</v>
      </c>
      <c r="L35">
        <v>2167.06</v>
      </c>
      <c r="M35" s="5" t="str">
        <f>TEXT(Table2[[#This Row],[Order Date]],"mm")</f>
        <v>01</v>
      </c>
      <c r="N35">
        <f>YEAR(Table2[[#This Row],[Order Date]])</f>
        <v>2025</v>
      </c>
    </row>
    <row r="36" spans="1:14" x14ac:dyDescent="0.3">
      <c r="A36" t="s">
        <v>741</v>
      </c>
      <c r="B36" t="s">
        <v>195</v>
      </c>
      <c r="C36" t="s">
        <v>132</v>
      </c>
      <c r="D36" t="s">
        <v>48</v>
      </c>
      <c r="E36" t="s">
        <v>49</v>
      </c>
      <c r="F36" t="s">
        <v>17</v>
      </c>
      <c r="G36" t="s">
        <v>38</v>
      </c>
      <c r="H36" t="s">
        <v>39</v>
      </c>
      <c r="I36">
        <v>10</v>
      </c>
      <c r="J36">
        <v>6505.9</v>
      </c>
      <c r="K36">
        <v>4652.5</v>
      </c>
      <c r="L36">
        <v>1853.4</v>
      </c>
      <c r="M36" s="5" t="str">
        <f>TEXT(Table2[[#This Row],[Order Date]],"mm")</f>
        <v>01</v>
      </c>
      <c r="N36">
        <f>YEAR(Table2[[#This Row],[Order Date]])</f>
        <v>2025</v>
      </c>
    </row>
    <row r="37" spans="1:14" x14ac:dyDescent="0.3">
      <c r="A37" t="s">
        <v>747</v>
      </c>
      <c r="B37" t="s">
        <v>310</v>
      </c>
      <c r="C37" t="s">
        <v>161</v>
      </c>
      <c r="D37" t="s">
        <v>23</v>
      </c>
      <c r="E37" t="s">
        <v>24</v>
      </c>
      <c r="F37" t="s">
        <v>25</v>
      </c>
      <c r="G37" t="s">
        <v>26</v>
      </c>
      <c r="H37" t="s">
        <v>27</v>
      </c>
      <c r="I37">
        <v>9</v>
      </c>
      <c r="J37">
        <v>11756.43</v>
      </c>
      <c r="K37">
        <v>8960.85</v>
      </c>
      <c r="L37">
        <v>2795.58</v>
      </c>
      <c r="M37" s="5" t="str">
        <f>TEXT(Table2[[#This Row],[Order Date]],"mm")</f>
        <v>01</v>
      </c>
      <c r="N37">
        <f>YEAR(Table2[[#This Row],[Order Date]])</f>
        <v>2025</v>
      </c>
    </row>
    <row r="38" spans="1:14" x14ac:dyDescent="0.3">
      <c r="A38" t="s">
        <v>759</v>
      </c>
      <c r="B38" t="s">
        <v>760</v>
      </c>
      <c r="C38" t="s">
        <v>143</v>
      </c>
      <c r="D38" t="s">
        <v>23</v>
      </c>
      <c r="E38" t="s">
        <v>37</v>
      </c>
      <c r="F38" t="s">
        <v>25</v>
      </c>
      <c r="G38" t="s">
        <v>56</v>
      </c>
      <c r="H38" t="s">
        <v>39</v>
      </c>
      <c r="I38">
        <v>1</v>
      </c>
      <c r="J38">
        <v>329.61</v>
      </c>
      <c r="K38">
        <v>208.45</v>
      </c>
      <c r="L38">
        <v>121.16</v>
      </c>
      <c r="M38" s="5" t="str">
        <f>TEXT(Table2[[#This Row],[Order Date]],"mm")</f>
        <v>01</v>
      </c>
      <c r="N38">
        <f>YEAR(Table2[[#This Row],[Order Date]])</f>
        <v>2025</v>
      </c>
    </row>
    <row r="39" spans="1:14" x14ac:dyDescent="0.3">
      <c r="A39" t="s">
        <v>767</v>
      </c>
      <c r="B39" t="s">
        <v>125</v>
      </c>
      <c r="C39" t="s">
        <v>206</v>
      </c>
      <c r="D39" t="s">
        <v>15</v>
      </c>
      <c r="E39" t="s">
        <v>183</v>
      </c>
      <c r="F39" t="s">
        <v>50</v>
      </c>
      <c r="G39" t="s">
        <v>110</v>
      </c>
      <c r="H39" t="s">
        <v>44</v>
      </c>
      <c r="I39">
        <v>5</v>
      </c>
      <c r="J39">
        <v>11750.6</v>
      </c>
      <c r="K39">
        <v>8349.2000000000007</v>
      </c>
      <c r="L39">
        <v>3401.4</v>
      </c>
      <c r="M39" s="5" t="str">
        <f>TEXT(Table2[[#This Row],[Order Date]],"mm")</f>
        <v>01</v>
      </c>
      <c r="N39">
        <f>YEAR(Table2[[#This Row],[Order Date]])</f>
        <v>2025</v>
      </c>
    </row>
    <row r="40" spans="1:14" x14ac:dyDescent="0.3">
      <c r="A40" t="s">
        <v>772</v>
      </c>
      <c r="B40" t="s">
        <v>773</v>
      </c>
      <c r="C40" t="s">
        <v>74</v>
      </c>
      <c r="D40" t="s">
        <v>15</v>
      </c>
      <c r="E40" t="s">
        <v>183</v>
      </c>
      <c r="F40" t="s">
        <v>17</v>
      </c>
      <c r="G40" t="s">
        <v>63</v>
      </c>
      <c r="H40" t="s">
        <v>60</v>
      </c>
      <c r="I40">
        <v>4</v>
      </c>
      <c r="J40">
        <v>10912</v>
      </c>
      <c r="K40">
        <v>7404.76</v>
      </c>
      <c r="L40">
        <v>3507.24</v>
      </c>
      <c r="M40" s="5" t="str">
        <f>TEXT(Table2[[#This Row],[Order Date]],"mm")</f>
        <v>01</v>
      </c>
      <c r="N40">
        <f>YEAR(Table2[[#This Row],[Order Date]])</f>
        <v>2025</v>
      </c>
    </row>
    <row r="41" spans="1:14" x14ac:dyDescent="0.3">
      <c r="A41" t="s">
        <v>808</v>
      </c>
      <c r="B41" t="s">
        <v>321</v>
      </c>
      <c r="C41" t="s">
        <v>263</v>
      </c>
      <c r="D41" t="s">
        <v>23</v>
      </c>
      <c r="E41" t="s">
        <v>43</v>
      </c>
      <c r="F41" t="s">
        <v>25</v>
      </c>
      <c r="G41" t="s">
        <v>158</v>
      </c>
      <c r="H41" t="s">
        <v>44</v>
      </c>
      <c r="I41">
        <v>1</v>
      </c>
      <c r="J41">
        <v>461.12</v>
      </c>
      <c r="K41">
        <v>308.16000000000003</v>
      </c>
      <c r="L41">
        <v>152.96</v>
      </c>
      <c r="M41" s="5" t="str">
        <f>TEXT(Table2[[#This Row],[Order Date]],"mm")</f>
        <v>01</v>
      </c>
      <c r="N41">
        <f>YEAR(Table2[[#This Row],[Order Date]])</f>
        <v>2025</v>
      </c>
    </row>
    <row r="42" spans="1:14" x14ac:dyDescent="0.3">
      <c r="A42" t="s">
        <v>824</v>
      </c>
      <c r="B42" t="s">
        <v>601</v>
      </c>
      <c r="C42" t="s">
        <v>113</v>
      </c>
      <c r="D42" t="s">
        <v>23</v>
      </c>
      <c r="E42" t="s">
        <v>59</v>
      </c>
      <c r="F42" t="s">
        <v>25</v>
      </c>
      <c r="G42" t="s">
        <v>71</v>
      </c>
      <c r="H42" t="s">
        <v>44</v>
      </c>
      <c r="I42">
        <v>8</v>
      </c>
      <c r="J42">
        <v>9127.1200000000008</v>
      </c>
      <c r="K42">
        <v>5917.92</v>
      </c>
      <c r="L42">
        <v>3209.2</v>
      </c>
      <c r="M42" s="5" t="str">
        <f>TEXT(Table2[[#This Row],[Order Date]],"mm")</f>
        <v>01</v>
      </c>
      <c r="N42">
        <f>YEAR(Table2[[#This Row],[Order Date]])</f>
        <v>2025</v>
      </c>
    </row>
    <row r="43" spans="1:14" x14ac:dyDescent="0.3">
      <c r="A43" t="s">
        <v>114</v>
      </c>
      <c r="B43" t="s">
        <v>115</v>
      </c>
      <c r="C43" t="s">
        <v>94</v>
      </c>
      <c r="D43" t="s">
        <v>48</v>
      </c>
      <c r="E43" t="s">
        <v>67</v>
      </c>
      <c r="F43" t="s">
        <v>17</v>
      </c>
      <c r="G43" t="s">
        <v>116</v>
      </c>
      <c r="H43" t="s">
        <v>60</v>
      </c>
      <c r="I43">
        <v>8</v>
      </c>
      <c r="J43">
        <v>7605.92</v>
      </c>
      <c r="K43">
        <v>6327.68</v>
      </c>
      <c r="L43">
        <v>1278.24</v>
      </c>
      <c r="M43" s="5" t="str">
        <f>TEXT(Table2[[#This Row],[Order Date]],"mm")</f>
        <v>02</v>
      </c>
      <c r="N43">
        <f>YEAR(Table2[[#This Row],[Order Date]])</f>
        <v>2025</v>
      </c>
    </row>
    <row r="44" spans="1:14" x14ac:dyDescent="0.3">
      <c r="A44" t="s">
        <v>159</v>
      </c>
      <c r="B44" t="s">
        <v>160</v>
      </c>
      <c r="C44" t="s">
        <v>161</v>
      </c>
      <c r="D44" t="s">
        <v>23</v>
      </c>
      <c r="E44" t="s">
        <v>43</v>
      </c>
      <c r="F44" t="s">
        <v>17</v>
      </c>
      <c r="G44" t="s">
        <v>38</v>
      </c>
      <c r="H44" t="s">
        <v>39</v>
      </c>
      <c r="I44">
        <v>1</v>
      </c>
      <c r="J44">
        <v>2040.32</v>
      </c>
      <c r="K44">
        <v>1758.4</v>
      </c>
      <c r="L44">
        <v>281.92</v>
      </c>
      <c r="M44" s="5" t="str">
        <f>TEXT(Table2[[#This Row],[Order Date]],"mm")</f>
        <v>02</v>
      </c>
      <c r="N44">
        <f>YEAR(Table2[[#This Row],[Order Date]])</f>
        <v>2025</v>
      </c>
    </row>
    <row r="45" spans="1:14" x14ac:dyDescent="0.3">
      <c r="A45" t="s">
        <v>162</v>
      </c>
      <c r="B45" t="s">
        <v>163</v>
      </c>
      <c r="C45" t="s">
        <v>70</v>
      </c>
      <c r="D45" t="s">
        <v>15</v>
      </c>
      <c r="E45" t="s">
        <v>89</v>
      </c>
      <c r="F45" t="s">
        <v>17</v>
      </c>
      <c r="G45" t="s">
        <v>18</v>
      </c>
      <c r="H45" t="s">
        <v>19</v>
      </c>
      <c r="I45">
        <v>5</v>
      </c>
      <c r="J45">
        <v>8009.45</v>
      </c>
      <c r="K45">
        <v>5816.15</v>
      </c>
      <c r="L45">
        <v>2193.3000000000002</v>
      </c>
      <c r="M45" s="5" t="str">
        <f>TEXT(Table2[[#This Row],[Order Date]],"mm")</f>
        <v>02</v>
      </c>
      <c r="N45">
        <f>YEAR(Table2[[#This Row],[Order Date]])</f>
        <v>2025</v>
      </c>
    </row>
    <row r="46" spans="1:14" x14ac:dyDescent="0.3">
      <c r="A46" t="s">
        <v>211</v>
      </c>
      <c r="B46" t="s">
        <v>212</v>
      </c>
      <c r="C46" t="s">
        <v>132</v>
      </c>
      <c r="D46" t="s">
        <v>15</v>
      </c>
      <c r="E46" t="s">
        <v>89</v>
      </c>
      <c r="F46" t="s">
        <v>50</v>
      </c>
      <c r="G46" t="s">
        <v>51</v>
      </c>
      <c r="H46" t="s">
        <v>44</v>
      </c>
      <c r="I46">
        <v>10</v>
      </c>
      <c r="J46">
        <v>6844.6</v>
      </c>
      <c r="K46">
        <v>5078.2</v>
      </c>
      <c r="L46">
        <v>1766.4</v>
      </c>
      <c r="M46" s="5" t="str">
        <f>TEXT(Table2[[#This Row],[Order Date]],"mm")</f>
        <v>02</v>
      </c>
      <c r="N46">
        <f>YEAR(Table2[[#This Row],[Order Date]])</f>
        <v>2025</v>
      </c>
    </row>
    <row r="47" spans="1:14" x14ac:dyDescent="0.3">
      <c r="A47" t="s">
        <v>216</v>
      </c>
      <c r="B47" t="s">
        <v>217</v>
      </c>
      <c r="C47" t="s">
        <v>70</v>
      </c>
      <c r="D47" t="s">
        <v>15</v>
      </c>
      <c r="E47" t="s">
        <v>31</v>
      </c>
      <c r="F47" t="s">
        <v>50</v>
      </c>
      <c r="G47" t="s">
        <v>95</v>
      </c>
      <c r="H47" t="s">
        <v>85</v>
      </c>
      <c r="I47">
        <v>9</v>
      </c>
      <c r="J47">
        <v>18693.36</v>
      </c>
      <c r="K47">
        <v>15870.24</v>
      </c>
      <c r="L47">
        <v>2823.12</v>
      </c>
      <c r="M47" s="5" t="str">
        <f>TEXT(Table2[[#This Row],[Order Date]],"mm")</f>
        <v>02</v>
      </c>
      <c r="N47">
        <f>YEAR(Table2[[#This Row],[Order Date]])</f>
        <v>2025</v>
      </c>
    </row>
    <row r="48" spans="1:14" x14ac:dyDescent="0.3">
      <c r="A48" t="s">
        <v>230</v>
      </c>
      <c r="B48" t="s">
        <v>231</v>
      </c>
      <c r="C48" t="s">
        <v>206</v>
      </c>
      <c r="D48" t="s">
        <v>15</v>
      </c>
      <c r="E48" t="s">
        <v>31</v>
      </c>
      <c r="F48" t="s">
        <v>17</v>
      </c>
      <c r="G48" t="s">
        <v>116</v>
      </c>
      <c r="H48" t="s">
        <v>44</v>
      </c>
      <c r="I48">
        <v>9</v>
      </c>
      <c r="J48">
        <v>4036.59</v>
      </c>
      <c r="K48">
        <v>2767.68</v>
      </c>
      <c r="L48">
        <v>1268.9100000000001</v>
      </c>
      <c r="M48" s="5" t="str">
        <f>TEXT(Table2[[#This Row],[Order Date]],"mm")</f>
        <v>02</v>
      </c>
      <c r="N48">
        <f>YEAR(Table2[[#This Row],[Order Date]])</f>
        <v>2025</v>
      </c>
    </row>
    <row r="49" spans="1:14" x14ac:dyDescent="0.3">
      <c r="A49" t="s">
        <v>239</v>
      </c>
      <c r="B49" t="s">
        <v>240</v>
      </c>
      <c r="C49" t="s">
        <v>161</v>
      </c>
      <c r="D49" t="s">
        <v>48</v>
      </c>
      <c r="E49" t="s">
        <v>49</v>
      </c>
      <c r="F49" t="s">
        <v>17</v>
      </c>
      <c r="G49" t="s">
        <v>18</v>
      </c>
      <c r="H49" t="s">
        <v>85</v>
      </c>
      <c r="I49">
        <v>10</v>
      </c>
      <c r="J49">
        <v>18303.099999999999</v>
      </c>
      <c r="K49">
        <v>13262.4</v>
      </c>
      <c r="L49">
        <v>5040.7</v>
      </c>
      <c r="M49" s="5" t="str">
        <f>TEXT(Table2[[#This Row],[Order Date]],"mm")</f>
        <v>02</v>
      </c>
      <c r="N49">
        <f>YEAR(Table2[[#This Row],[Order Date]])</f>
        <v>2025</v>
      </c>
    </row>
    <row r="50" spans="1:14" x14ac:dyDescent="0.3">
      <c r="A50" t="s">
        <v>250</v>
      </c>
      <c r="B50" t="s">
        <v>251</v>
      </c>
      <c r="C50" t="s">
        <v>47</v>
      </c>
      <c r="D50" t="s">
        <v>54</v>
      </c>
      <c r="E50" t="s">
        <v>75</v>
      </c>
      <c r="F50" t="s">
        <v>50</v>
      </c>
      <c r="G50" t="s">
        <v>134</v>
      </c>
      <c r="H50" t="s">
        <v>44</v>
      </c>
      <c r="I50">
        <v>3</v>
      </c>
      <c r="J50">
        <v>5389.29</v>
      </c>
      <c r="K50">
        <v>3376.41</v>
      </c>
      <c r="L50">
        <v>2012.88</v>
      </c>
      <c r="M50" s="5" t="str">
        <f>TEXT(Table2[[#This Row],[Order Date]],"mm")</f>
        <v>02</v>
      </c>
      <c r="N50">
        <f>YEAR(Table2[[#This Row],[Order Date]])</f>
        <v>2025</v>
      </c>
    </row>
    <row r="51" spans="1:14" x14ac:dyDescent="0.3">
      <c r="A51" t="s">
        <v>255</v>
      </c>
      <c r="B51" t="s">
        <v>163</v>
      </c>
      <c r="C51" t="s">
        <v>132</v>
      </c>
      <c r="D51" t="s">
        <v>54</v>
      </c>
      <c r="E51" t="s">
        <v>75</v>
      </c>
      <c r="F51" t="s">
        <v>50</v>
      </c>
      <c r="G51" t="s">
        <v>80</v>
      </c>
      <c r="H51" t="s">
        <v>64</v>
      </c>
      <c r="I51">
        <v>5</v>
      </c>
      <c r="J51">
        <v>1207.05</v>
      </c>
      <c r="K51">
        <v>788.85</v>
      </c>
      <c r="L51">
        <v>418.2</v>
      </c>
      <c r="M51" s="5" t="str">
        <f>TEXT(Table2[[#This Row],[Order Date]],"mm")</f>
        <v>02</v>
      </c>
      <c r="N51">
        <f>YEAR(Table2[[#This Row],[Order Date]])</f>
        <v>2025</v>
      </c>
    </row>
    <row r="52" spans="1:14" x14ac:dyDescent="0.3">
      <c r="A52" t="s">
        <v>275</v>
      </c>
      <c r="B52" t="s">
        <v>276</v>
      </c>
      <c r="C52" t="s">
        <v>263</v>
      </c>
      <c r="D52" t="s">
        <v>54</v>
      </c>
      <c r="E52" t="s">
        <v>133</v>
      </c>
      <c r="F52" t="s">
        <v>17</v>
      </c>
      <c r="G52" t="s">
        <v>76</v>
      </c>
      <c r="H52" t="s">
        <v>33</v>
      </c>
      <c r="I52">
        <v>4</v>
      </c>
      <c r="J52">
        <v>1891.44</v>
      </c>
      <c r="K52">
        <v>1470.24</v>
      </c>
      <c r="L52">
        <v>421.2</v>
      </c>
      <c r="M52" s="5" t="str">
        <f>TEXT(Table2[[#This Row],[Order Date]],"mm")</f>
        <v>02</v>
      </c>
      <c r="N52">
        <f>YEAR(Table2[[#This Row],[Order Date]])</f>
        <v>2025</v>
      </c>
    </row>
    <row r="53" spans="1:14" x14ac:dyDescent="0.3">
      <c r="A53" t="s">
        <v>286</v>
      </c>
      <c r="B53" t="s">
        <v>240</v>
      </c>
      <c r="C53" t="s">
        <v>47</v>
      </c>
      <c r="D53" t="s">
        <v>48</v>
      </c>
      <c r="E53" t="s">
        <v>107</v>
      </c>
      <c r="F53" t="s">
        <v>25</v>
      </c>
      <c r="G53" t="s">
        <v>71</v>
      </c>
      <c r="H53" t="s">
        <v>19</v>
      </c>
      <c r="I53">
        <v>1</v>
      </c>
      <c r="J53">
        <v>1887.14</v>
      </c>
      <c r="K53">
        <v>1617.39</v>
      </c>
      <c r="L53">
        <v>269.75</v>
      </c>
      <c r="M53" s="5" t="str">
        <f>TEXT(Table2[[#This Row],[Order Date]],"mm")</f>
        <v>02</v>
      </c>
      <c r="N53">
        <f>YEAR(Table2[[#This Row],[Order Date]])</f>
        <v>2025</v>
      </c>
    </row>
    <row r="54" spans="1:14" x14ac:dyDescent="0.3">
      <c r="A54" t="s">
        <v>289</v>
      </c>
      <c r="B54" t="s">
        <v>115</v>
      </c>
      <c r="C54" t="s">
        <v>143</v>
      </c>
      <c r="D54" t="s">
        <v>15</v>
      </c>
      <c r="E54" t="s">
        <v>89</v>
      </c>
      <c r="F54" t="s">
        <v>17</v>
      </c>
      <c r="G54" t="s">
        <v>18</v>
      </c>
      <c r="H54" t="s">
        <v>27</v>
      </c>
      <c r="I54">
        <v>7</v>
      </c>
      <c r="J54">
        <v>3470.32</v>
      </c>
      <c r="K54">
        <v>2681.91</v>
      </c>
      <c r="L54">
        <v>788.41</v>
      </c>
      <c r="M54" s="5" t="str">
        <f>TEXT(Table2[[#This Row],[Order Date]],"mm")</f>
        <v>02</v>
      </c>
      <c r="N54">
        <f>YEAR(Table2[[#This Row],[Order Date]])</f>
        <v>2025</v>
      </c>
    </row>
    <row r="55" spans="1:14" x14ac:dyDescent="0.3">
      <c r="A55" t="s">
        <v>338</v>
      </c>
      <c r="B55" t="s">
        <v>339</v>
      </c>
      <c r="C55" t="s">
        <v>70</v>
      </c>
      <c r="D55" t="s">
        <v>54</v>
      </c>
      <c r="E55" t="s">
        <v>75</v>
      </c>
      <c r="F55" t="s">
        <v>50</v>
      </c>
      <c r="G55" t="s">
        <v>110</v>
      </c>
      <c r="H55" t="s">
        <v>44</v>
      </c>
      <c r="I55">
        <v>6</v>
      </c>
      <c r="J55">
        <v>15951.78</v>
      </c>
      <c r="K55">
        <v>11282.58</v>
      </c>
      <c r="L55">
        <v>4669.2</v>
      </c>
      <c r="M55" s="5" t="str">
        <f>TEXT(Table2[[#This Row],[Order Date]],"mm")</f>
        <v>02</v>
      </c>
      <c r="N55">
        <f>YEAR(Table2[[#This Row],[Order Date]])</f>
        <v>2025</v>
      </c>
    </row>
    <row r="56" spans="1:14" x14ac:dyDescent="0.3">
      <c r="A56" t="s">
        <v>368</v>
      </c>
      <c r="B56" t="s">
        <v>276</v>
      </c>
      <c r="C56" t="s">
        <v>30</v>
      </c>
      <c r="D56" t="s">
        <v>54</v>
      </c>
      <c r="E56" t="s">
        <v>75</v>
      </c>
      <c r="F56" t="s">
        <v>50</v>
      </c>
      <c r="G56" t="s">
        <v>80</v>
      </c>
      <c r="H56" t="s">
        <v>85</v>
      </c>
      <c r="I56">
        <v>10</v>
      </c>
      <c r="J56">
        <v>12666.6</v>
      </c>
      <c r="K56">
        <v>9860.9</v>
      </c>
      <c r="L56">
        <v>2805.7</v>
      </c>
      <c r="M56" s="5" t="str">
        <f>TEXT(Table2[[#This Row],[Order Date]],"mm")</f>
        <v>02</v>
      </c>
      <c r="N56">
        <f>YEAR(Table2[[#This Row],[Order Date]])</f>
        <v>2025</v>
      </c>
    </row>
    <row r="57" spans="1:14" x14ac:dyDescent="0.3">
      <c r="A57" t="s">
        <v>375</v>
      </c>
      <c r="B57" t="s">
        <v>376</v>
      </c>
      <c r="C57" t="s">
        <v>14</v>
      </c>
      <c r="D57" t="s">
        <v>48</v>
      </c>
      <c r="E57" t="s">
        <v>67</v>
      </c>
      <c r="F57" t="s">
        <v>50</v>
      </c>
      <c r="G57" t="s">
        <v>95</v>
      </c>
      <c r="H57" t="s">
        <v>85</v>
      </c>
      <c r="I57">
        <v>10</v>
      </c>
      <c r="J57">
        <v>19895.5</v>
      </c>
      <c r="K57">
        <v>14864.4</v>
      </c>
      <c r="L57">
        <v>5031.1000000000004</v>
      </c>
      <c r="M57" s="5" t="str">
        <f>TEXT(Table2[[#This Row],[Order Date]],"mm")</f>
        <v>02</v>
      </c>
      <c r="N57">
        <f>YEAR(Table2[[#This Row],[Order Date]])</f>
        <v>2025</v>
      </c>
    </row>
    <row r="58" spans="1:14" x14ac:dyDescent="0.3">
      <c r="A58" t="s">
        <v>383</v>
      </c>
      <c r="B58" t="s">
        <v>384</v>
      </c>
      <c r="C58" t="s">
        <v>42</v>
      </c>
      <c r="D58" t="s">
        <v>15</v>
      </c>
      <c r="E58" t="s">
        <v>16</v>
      </c>
      <c r="F58" t="s">
        <v>50</v>
      </c>
      <c r="G58" t="s">
        <v>134</v>
      </c>
      <c r="H58" t="s">
        <v>44</v>
      </c>
      <c r="I58">
        <v>1</v>
      </c>
      <c r="J58">
        <v>1603.31</v>
      </c>
      <c r="K58">
        <v>1073.3</v>
      </c>
      <c r="L58">
        <v>530.01</v>
      </c>
      <c r="M58" s="5" t="str">
        <f>TEXT(Table2[[#This Row],[Order Date]],"mm")</f>
        <v>02</v>
      </c>
      <c r="N58">
        <f>YEAR(Table2[[#This Row],[Order Date]])</f>
        <v>2025</v>
      </c>
    </row>
    <row r="59" spans="1:14" x14ac:dyDescent="0.3">
      <c r="A59" t="s">
        <v>389</v>
      </c>
      <c r="B59" t="s">
        <v>390</v>
      </c>
      <c r="C59" t="s">
        <v>106</v>
      </c>
      <c r="D59" t="s">
        <v>48</v>
      </c>
      <c r="E59" t="s">
        <v>84</v>
      </c>
      <c r="F59" t="s">
        <v>50</v>
      </c>
      <c r="G59" t="s">
        <v>95</v>
      </c>
      <c r="H59" t="s">
        <v>19</v>
      </c>
      <c r="I59">
        <v>6</v>
      </c>
      <c r="J59">
        <v>5417.76</v>
      </c>
      <c r="K59">
        <v>4322.9399999999996</v>
      </c>
      <c r="L59">
        <v>1094.82</v>
      </c>
      <c r="M59" s="5" t="str">
        <f>TEXT(Table2[[#This Row],[Order Date]],"mm")</f>
        <v>02</v>
      </c>
      <c r="N59">
        <f>YEAR(Table2[[#This Row],[Order Date]])</f>
        <v>2025</v>
      </c>
    </row>
    <row r="60" spans="1:14" x14ac:dyDescent="0.3">
      <c r="A60" t="s">
        <v>394</v>
      </c>
      <c r="B60" t="s">
        <v>395</v>
      </c>
      <c r="C60" t="s">
        <v>74</v>
      </c>
      <c r="D60" t="s">
        <v>23</v>
      </c>
      <c r="E60" t="s">
        <v>43</v>
      </c>
      <c r="F60" t="s">
        <v>25</v>
      </c>
      <c r="G60" t="s">
        <v>26</v>
      </c>
      <c r="H60" t="s">
        <v>19</v>
      </c>
      <c r="I60">
        <v>10</v>
      </c>
      <c r="J60">
        <v>10271.700000000001</v>
      </c>
      <c r="K60">
        <v>7140.4</v>
      </c>
      <c r="L60">
        <v>3131.3</v>
      </c>
      <c r="M60" s="5" t="str">
        <f>TEXT(Table2[[#This Row],[Order Date]],"mm")</f>
        <v>02</v>
      </c>
      <c r="N60">
        <f>YEAR(Table2[[#This Row],[Order Date]])</f>
        <v>2025</v>
      </c>
    </row>
    <row r="61" spans="1:14" x14ac:dyDescent="0.3">
      <c r="A61" t="s">
        <v>409</v>
      </c>
      <c r="B61" t="s">
        <v>410</v>
      </c>
      <c r="C61" t="s">
        <v>206</v>
      </c>
      <c r="D61" t="s">
        <v>15</v>
      </c>
      <c r="E61" t="s">
        <v>89</v>
      </c>
      <c r="F61" t="s">
        <v>25</v>
      </c>
      <c r="G61" t="s">
        <v>158</v>
      </c>
      <c r="H61" t="s">
        <v>33</v>
      </c>
      <c r="I61">
        <v>4</v>
      </c>
      <c r="J61">
        <v>7270.6</v>
      </c>
      <c r="K61">
        <v>4592.04</v>
      </c>
      <c r="L61">
        <v>2678.56</v>
      </c>
      <c r="M61" s="5" t="str">
        <f>TEXT(Table2[[#This Row],[Order Date]],"mm")</f>
        <v>02</v>
      </c>
      <c r="N61">
        <f>YEAR(Table2[[#This Row],[Order Date]])</f>
        <v>2025</v>
      </c>
    </row>
    <row r="62" spans="1:14" x14ac:dyDescent="0.3">
      <c r="A62" t="s">
        <v>418</v>
      </c>
      <c r="B62" t="s">
        <v>212</v>
      </c>
      <c r="C62" t="s">
        <v>143</v>
      </c>
      <c r="D62" t="s">
        <v>48</v>
      </c>
      <c r="E62" t="s">
        <v>49</v>
      </c>
      <c r="F62" t="s">
        <v>50</v>
      </c>
      <c r="G62" t="s">
        <v>134</v>
      </c>
      <c r="H62" t="s">
        <v>39</v>
      </c>
      <c r="I62">
        <v>9</v>
      </c>
      <c r="J62">
        <v>11323.8</v>
      </c>
      <c r="K62">
        <v>7226.1</v>
      </c>
      <c r="L62">
        <v>4097.7</v>
      </c>
      <c r="M62" s="5" t="str">
        <f>TEXT(Table2[[#This Row],[Order Date]],"mm")</f>
        <v>02</v>
      </c>
      <c r="N62">
        <f>YEAR(Table2[[#This Row],[Order Date]])</f>
        <v>2025</v>
      </c>
    </row>
    <row r="63" spans="1:14" x14ac:dyDescent="0.3">
      <c r="A63" t="s">
        <v>419</v>
      </c>
      <c r="B63" t="s">
        <v>420</v>
      </c>
      <c r="C63" t="s">
        <v>161</v>
      </c>
      <c r="D63" t="s">
        <v>54</v>
      </c>
      <c r="E63" t="s">
        <v>75</v>
      </c>
      <c r="F63" t="s">
        <v>17</v>
      </c>
      <c r="G63" t="s">
        <v>38</v>
      </c>
      <c r="H63" t="s">
        <v>19</v>
      </c>
      <c r="I63">
        <v>9</v>
      </c>
      <c r="J63">
        <v>17904.509999999998</v>
      </c>
      <c r="K63">
        <v>12870.81</v>
      </c>
      <c r="L63">
        <v>5033.7</v>
      </c>
      <c r="M63" s="5" t="str">
        <f>TEXT(Table2[[#This Row],[Order Date]],"mm")</f>
        <v>02</v>
      </c>
      <c r="N63">
        <f>YEAR(Table2[[#This Row],[Order Date]])</f>
        <v>2025</v>
      </c>
    </row>
    <row r="64" spans="1:14" x14ac:dyDescent="0.3">
      <c r="A64" t="s">
        <v>441</v>
      </c>
      <c r="B64" t="s">
        <v>390</v>
      </c>
      <c r="C64" t="s">
        <v>22</v>
      </c>
      <c r="D64" t="s">
        <v>23</v>
      </c>
      <c r="E64" t="s">
        <v>24</v>
      </c>
      <c r="F64" t="s">
        <v>17</v>
      </c>
      <c r="G64" t="s">
        <v>63</v>
      </c>
      <c r="H64" t="s">
        <v>33</v>
      </c>
      <c r="I64">
        <v>4</v>
      </c>
      <c r="J64">
        <v>10092.48</v>
      </c>
      <c r="K64">
        <v>7760.24</v>
      </c>
      <c r="L64">
        <v>2332.2399999999998</v>
      </c>
      <c r="M64" s="5" t="str">
        <f>TEXT(Table2[[#This Row],[Order Date]],"mm")</f>
        <v>02</v>
      </c>
      <c r="N64">
        <f>YEAR(Table2[[#This Row],[Order Date]])</f>
        <v>2025</v>
      </c>
    </row>
    <row r="65" spans="1:14" x14ac:dyDescent="0.3">
      <c r="A65" t="s">
        <v>452</v>
      </c>
      <c r="B65" t="s">
        <v>453</v>
      </c>
      <c r="C65" t="s">
        <v>335</v>
      </c>
      <c r="D65" t="s">
        <v>23</v>
      </c>
      <c r="E65" t="s">
        <v>43</v>
      </c>
      <c r="F65" t="s">
        <v>50</v>
      </c>
      <c r="G65" t="s">
        <v>80</v>
      </c>
      <c r="H65" t="s">
        <v>85</v>
      </c>
      <c r="I65">
        <v>7</v>
      </c>
      <c r="J65">
        <v>11890.34</v>
      </c>
      <c r="K65">
        <v>7732.06</v>
      </c>
      <c r="L65">
        <v>4158.28</v>
      </c>
      <c r="M65" s="5" t="str">
        <f>TEXT(Table2[[#This Row],[Order Date]],"mm")</f>
        <v>02</v>
      </c>
      <c r="N65">
        <f>YEAR(Table2[[#This Row],[Order Date]])</f>
        <v>2025</v>
      </c>
    </row>
    <row r="66" spans="1:14" x14ac:dyDescent="0.3">
      <c r="A66" t="s">
        <v>468</v>
      </c>
      <c r="B66" t="s">
        <v>217</v>
      </c>
      <c r="C66" t="s">
        <v>161</v>
      </c>
      <c r="D66" t="s">
        <v>54</v>
      </c>
      <c r="E66" t="s">
        <v>133</v>
      </c>
      <c r="F66" t="s">
        <v>17</v>
      </c>
      <c r="G66" t="s">
        <v>38</v>
      </c>
      <c r="H66" t="s">
        <v>19</v>
      </c>
      <c r="I66">
        <v>9</v>
      </c>
      <c r="J66">
        <v>6139.35</v>
      </c>
      <c r="K66">
        <v>3953.97</v>
      </c>
      <c r="L66">
        <v>2185.38</v>
      </c>
      <c r="M66" s="5" t="str">
        <f>TEXT(Table2[[#This Row],[Order Date]],"mm")</f>
        <v>02</v>
      </c>
      <c r="N66">
        <f>YEAR(Table2[[#This Row],[Order Date]])</f>
        <v>2025</v>
      </c>
    </row>
    <row r="67" spans="1:14" x14ac:dyDescent="0.3">
      <c r="A67" t="s">
        <v>529</v>
      </c>
      <c r="B67" t="s">
        <v>530</v>
      </c>
      <c r="C67" t="s">
        <v>106</v>
      </c>
      <c r="D67" t="s">
        <v>15</v>
      </c>
      <c r="E67" t="s">
        <v>89</v>
      </c>
      <c r="F67" t="s">
        <v>50</v>
      </c>
      <c r="G67" t="s">
        <v>110</v>
      </c>
      <c r="H67" t="s">
        <v>39</v>
      </c>
      <c r="I67">
        <v>4</v>
      </c>
      <c r="J67">
        <v>716.24</v>
      </c>
      <c r="K67">
        <v>512.79999999999995</v>
      </c>
      <c r="L67">
        <v>203.44</v>
      </c>
      <c r="M67" s="5" t="str">
        <f>TEXT(Table2[[#This Row],[Order Date]],"mm")</f>
        <v>02</v>
      </c>
      <c r="N67">
        <f>YEAR(Table2[[#This Row],[Order Date]])</f>
        <v>2025</v>
      </c>
    </row>
    <row r="68" spans="1:14" x14ac:dyDescent="0.3">
      <c r="A68" t="s">
        <v>533</v>
      </c>
      <c r="B68" t="s">
        <v>420</v>
      </c>
      <c r="C68" t="s">
        <v>103</v>
      </c>
      <c r="D68" t="s">
        <v>23</v>
      </c>
      <c r="E68" t="s">
        <v>24</v>
      </c>
      <c r="F68" t="s">
        <v>17</v>
      </c>
      <c r="G68" t="s">
        <v>76</v>
      </c>
      <c r="H68" t="s">
        <v>39</v>
      </c>
      <c r="I68">
        <v>7</v>
      </c>
      <c r="J68">
        <v>4674.74</v>
      </c>
      <c r="K68">
        <v>3488.38</v>
      </c>
      <c r="L68">
        <v>1186.3599999999999</v>
      </c>
      <c r="M68" s="5" t="str">
        <f>TEXT(Table2[[#This Row],[Order Date]],"mm")</f>
        <v>02</v>
      </c>
      <c r="N68">
        <f>YEAR(Table2[[#This Row],[Order Date]])</f>
        <v>2025</v>
      </c>
    </row>
    <row r="69" spans="1:14" x14ac:dyDescent="0.3">
      <c r="A69" t="s">
        <v>555</v>
      </c>
      <c r="B69" t="s">
        <v>556</v>
      </c>
      <c r="C69" t="s">
        <v>14</v>
      </c>
      <c r="D69" t="s">
        <v>48</v>
      </c>
      <c r="E69" t="s">
        <v>84</v>
      </c>
      <c r="F69" t="s">
        <v>25</v>
      </c>
      <c r="G69" t="s">
        <v>158</v>
      </c>
      <c r="H69" t="s">
        <v>85</v>
      </c>
      <c r="I69">
        <v>10</v>
      </c>
      <c r="J69">
        <v>5233.3999999999996</v>
      </c>
      <c r="K69">
        <v>3990.2</v>
      </c>
      <c r="L69">
        <v>1243.2</v>
      </c>
      <c r="M69" s="5" t="str">
        <f>TEXT(Table2[[#This Row],[Order Date]],"mm")</f>
        <v>02</v>
      </c>
      <c r="N69">
        <f>YEAR(Table2[[#This Row],[Order Date]])</f>
        <v>2025</v>
      </c>
    </row>
    <row r="70" spans="1:14" x14ac:dyDescent="0.3">
      <c r="A70" t="s">
        <v>562</v>
      </c>
      <c r="B70" t="s">
        <v>160</v>
      </c>
      <c r="C70" t="s">
        <v>263</v>
      </c>
      <c r="D70" t="s">
        <v>54</v>
      </c>
      <c r="E70" t="s">
        <v>98</v>
      </c>
      <c r="F70" t="s">
        <v>25</v>
      </c>
      <c r="G70" t="s">
        <v>26</v>
      </c>
      <c r="H70" t="s">
        <v>39</v>
      </c>
      <c r="I70">
        <v>5</v>
      </c>
      <c r="J70">
        <v>12295.75</v>
      </c>
      <c r="K70">
        <v>9830.4</v>
      </c>
      <c r="L70">
        <v>2465.35</v>
      </c>
      <c r="M70" s="5" t="str">
        <f>TEXT(Table2[[#This Row],[Order Date]],"mm")</f>
        <v>02</v>
      </c>
      <c r="N70">
        <f>YEAR(Table2[[#This Row],[Order Date]])</f>
        <v>2025</v>
      </c>
    </row>
    <row r="71" spans="1:14" x14ac:dyDescent="0.3">
      <c r="A71" t="s">
        <v>581</v>
      </c>
      <c r="B71" t="s">
        <v>410</v>
      </c>
      <c r="C71" t="s">
        <v>30</v>
      </c>
      <c r="D71" t="s">
        <v>48</v>
      </c>
      <c r="E71" t="s">
        <v>107</v>
      </c>
      <c r="F71" t="s">
        <v>17</v>
      </c>
      <c r="G71" t="s">
        <v>38</v>
      </c>
      <c r="H71" t="s">
        <v>19</v>
      </c>
      <c r="I71">
        <v>2</v>
      </c>
      <c r="J71">
        <v>2377.54</v>
      </c>
      <c r="K71">
        <v>1791.54</v>
      </c>
      <c r="L71">
        <v>586</v>
      </c>
      <c r="M71" s="5" t="str">
        <f>TEXT(Table2[[#This Row],[Order Date]],"mm")</f>
        <v>02</v>
      </c>
      <c r="N71">
        <f>YEAR(Table2[[#This Row],[Order Date]])</f>
        <v>2025</v>
      </c>
    </row>
    <row r="72" spans="1:14" x14ac:dyDescent="0.3">
      <c r="A72" t="s">
        <v>636</v>
      </c>
      <c r="B72" t="s">
        <v>637</v>
      </c>
      <c r="C72" t="s">
        <v>30</v>
      </c>
      <c r="D72" t="s">
        <v>15</v>
      </c>
      <c r="E72" t="s">
        <v>31</v>
      </c>
      <c r="F72" t="s">
        <v>17</v>
      </c>
      <c r="G72" t="s">
        <v>63</v>
      </c>
      <c r="H72" t="s">
        <v>33</v>
      </c>
      <c r="I72">
        <v>9</v>
      </c>
      <c r="J72">
        <v>5810.67</v>
      </c>
      <c r="K72">
        <v>4089.51</v>
      </c>
      <c r="L72">
        <v>1721.16</v>
      </c>
      <c r="M72" s="5" t="str">
        <f>TEXT(Table2[[#This Row],[Order Date]],"mm")</f>
        <v>02</v>
      </c>
      <c r="N72">
        <f>YEAR(Table2[[#This Row],[Order Date]])</f>
        <v>2025</v>
      </c>
    </row>
    <row r="73" spans="1:14" x14ac:dyDescent="0.3">
      <c r="A73" t="s">
        <v>655</v>
      </c>
      <c r="B73" t="s">
        <v>231</v>
      </c>
      <c r="C73" t="s">
        <v>132</v>
      </c>
      <c r="D73" t="s">
        <v>15</v>
      </c>
      <c r="E73" t="s">
        <v>16</v>
      </c>
      <c r="F73" t="s">
        <v>17</v>
      </c>
      <c r="G73" t="s">
        <v>76</v>
      </c>
      <c r="H73" t="s">
        <v>44</v>
      </c>
      <c r="I73">
        <v>5</v>
      </c>
      <c r="J73">
        <v>4026.8</v>
      </c>
      <c r="K73">
        <v>2850.85</v>
      </c>
      <c r="L73">
        <v>1175.95</v>
      </c>
      <c r="M73" s="5" t="str">
        <f>TEXT(Table2[[#This Row],[Order Date]],"mm")</f>
        <v>02</v>
      </c>
      <c r="N73">
        <f>YEAR(Table2[[#This Row],[Order Date]])</f>
        <v>2025</v>
      </c>
    </row>
    <row r="74" spans="1:14" x14ac:dyDescent="0.3">
      <c r="A74" t="s">
        <v>669</v>
      </c>
      <c r="B74" t="s">
        <v>670</v>
      </c>
      <c r="C74" t="s">
        <v>132</v>
      </c>
      <c r="D74" t="s">
        <v>15</v>
      </c>
      <c r="E74" t="s">
        <v>183</v>
      </c>
      <c r="F74" t="s">
        <v>25</v>
      </c>
      <c r="G74" t="s">
        <v>26</v>
      </c>
      <c r="H74" t="s">
        <v>39</v>
      </c>
      <c r="I74">
        <v>1</v>
      </c>
      <c r="J74">
        <v>1104.71</v>
      </c>
      <c r="K74">
        <v>768.89</v>
      </c>
      <c r="L74">
        <v>335.82</v>
      </c>
      <c r="M74" s="5" t="str">
        <f>TEXT(Table2[[#This Row],[Order Date]],"mm")</f>
        <v>02</v>
      </c>
      <c r="N74">
        <f>YEAR(Table2[[#This Row],[Order Date]])</f>
        <v>2025</v>
      </c>
    </row>
    <row r="75" spans="1:14" x14ac:dyDescent="0.3">
      <c r="A75" t="s">
        <v>686</v>
      </c>
      <c r="B75" t="s">
        <v>420</v>
      </c>
      <c r="C75" t="s">
        <v>113</v>
      </c>
      <c r="D75" t="s">
        <v>48</v>
      </c>
      <c r="E75" t="s">
        <v>84</v>
      </c>
      <c r="F75" t="s">
        <v>25</v>
      </c>
      <c r="G75" t="s">
        <v>71</v>
      </c>
      <c r="H75" t="s">
        <v>64</v>
      </c>
      <c r="I75">
        <v>4</v>
      </c>
      <c r="J75">
        <v>7739.96</v>
      </c>
      <c r="K75">
        <v>6283.4</v>
      </c>
      <c r="L75">
        <v>1456.56</v>
      </c>
      <c r="M75" s="5" t="str">
        <f>TEXT(Table2[[#This Row],[Order Date]],"mm")</f>
        <v>02</v>
      </c>
      <c r="N75">
        <f>YEAR(Table2[[#This Row],[Order Date]])</f>
        <v>2025</v>
      </c>
    </row>
    <row r="76" spans="1:14" x14ac:dyDescent="0.3">
      <c r="A76" t="s">
        <v>707</v>
      </c>
      <c r="B76" t="s">
        <v>708</v>
      </c>
      <c r="C76" t="s">
        <v>103</v>
      </c>
      <c r="D76" t="s">
        <v>15</v>
      </c>
      <c r="E76" t="s">
        <v>89</v>
      </c>
      <c r="F76" t="s">
        <v>17</v>
      </c>
      <c r="G76" t="s">
        <v>63</v>
      </c>
      <c r="H76" t="s">
        <v>60</v>
      </c>
      <c r="I76">
        <v>6</v>
      </c>
      <c r="J76">
        <v>16452.78</v>
      </c>
      <c r="K76">
        <v>11260.86</v>
      </c>
      <c r="L76">
        <v>5191.92</v>
      </c>
      <c r="M76" s="5" t="str">
        <f>TEXT(Table2[[#This Row],[Order Date]],"mm")</f>
        <v>02</v>
      </c>
      <c r="N76">
        <f>YEAR(Table2[[#This Row],[Order Date]])</f>
        <v>2025</v>
      </c>
    </row>
    <row r="77" spans="1:14" x14ac:dyDescent="0.3">
      <c r="A77" t="s">
        <v>710</v>
      </c>
      <c r="B77" t="s">
        <v>276</v>
      </c>
      <c r="C77" t="s">
        <v>335</v>
      </c>
      <c r="D77" t="s">
        <v>15</v>
      </c>
      <c r="E77" t="s">
        <v>89</v>
      </c>
      <c r="F77" t="s">
        <v>50</v>
      </c>
      <c r="G77" t="s">
        <v>95</v>
      </c>
      <c r="H77" t="s">
        <v>27</v>
      </c>
      <c r="I77">
        <v>8</v>
      </c>
      <c r="J77">
        <v>6019.2</v>
      </c>
      <c r="K77">
        <v>4409.6000000000004</v>
      </c>
      <c r="L77">
        <v>1609.6</v>
      </c>
      <c r="M77" s="5" t="str">
        <f>TEXT(Table2[[#This Row],[Order Date]],"mm")</f>
        <v>02</v>
      </c>
      <c r="N77">
        <f>YEAR(Table2[[#This Row],[Order Date]])</f>
        <v>2025</v>
      </c>
    </row>
    <row r="78" spans="1:14" x14ac:dyDescent="0.3">
      <c r="A78" t="s">
        <v>712</v>
      </c>
      <c r="B78" t="s">
        <v>713</v>
      </c>
      <c r="C78" t="s">
        <v>161</v>
      </c>
      <c r="D78" t="s">
        <v>48</v>
      </c>
      <c r="E78" t="s">
        <v>84</v>
      </c>
      <c r="F78" t="s">
        <v>50</v>
      </c>
      <c r="G78" t="s">
        <v>80</v>
      </c>
      <c r="H78" t="s">
        <v>19</v>
      </c>
      <c r="I78">
        <v>9</v>
      </c>
      <c r="J78">
        <v>22584.42</v>
      </c>
      <c r="K78">
        <v>15194.52</v>
      </c>
      <c r="L78">
        <v>7389.9</v>
      </c>
      <c r="M78" s="5" t="str">
        <f>TEXT(Table2[[#This Row],[Order Date]],"mm")</f>
        <v>02</v>
      </c>
      <c r="N78">
        <f>YEAR(Table2[[#This Row],[Order Date]])</f>
        <v>2025</v>
      </c>
    </row>
    <row r="79" spans="1:14" x14ac:dyDescent="0.3">
      <c r="A79" t="s">
        <v>748</v>
      </c>
      <c r="B79" t="s">
        <v>749</v>
      </c>
      <c r="C79" t="s">
        <v>94</v>
      </c>
      <c r="D79" t="s">
        <v>54</v>
      </c>
      <c r="E79" t="s">
        <v>98</v>
      </c>
      <c r="F79" t="s">
        <v>50</v>
      </c>
      <c r="G79" t="s">
        <v>110</v>
      </c>
      <c r="H79" t="s">
        <v>85</v>
      </c>
      <c r="I79">
        <v>2</v>
      </c>
      <c r="J79">
        <v>5800.16</v>
      </c>
      <c r="K79">
        <v>3741.34</v>
      </c>
      <c r="L79">
        <v>2058.8200000000002</v>
      </c>
      <c r="M79" s="5" t="str">
        <f>TEXT(Table2[[#This Row],[Order Date]],"mm")</f>
        <v>02</v>
      </c>
      <c r="N79">
        <f>YEAR(Table2[[#This Row],[Order Date]])</f>
        <v>2025</v>
      </c>
    </row>
    <row r="80" spans="1:14" x14ac:dyDescent="0.3">
      <c r="A80" t="s">
        <v>762</v>
      </c>
      <c r="B80" t="s">
        <v>163</v>
      </c>
      <c r="C80" t="s">
        <v>74</v>
      </c>
      <c r="D80" t="s">
        <v>23</v>
      </c>
      <c r="E80" t="s">
        <v>24</v>
      </c>
      <c r="F80" t="s">
        <v>50</v>
      </c>
      <c r="G80" t="s">
        <v>80</v>
      </c>
      <c r="H80" t="s">
        <v>85</v>
      </c>
      <c r="I80">
        <v>6</v>
      </c>
      <c r="J80">
        <v>9505.86</v>
      </c>
      <c r="K80">
        <v>6987.78</v>
      </c>
      <c r="L80">
        <v>2518.08</v>
      </c>
      <c r="M80" s="5" t="str">
        <f>TEXT(Table2[[#This Row],[Order Date]],"mm")</f>
        <v>02</v>
      </c>
      <c r="N80">
        <f>YEAR(Table2[[#This Row],[Order Date]])</f>
        <v>2025</v>
      </c>
    </row>
    <row r="81" spans="1:14" x14ac:dyDescent="0.3">
      <c r="A81" t="s">
        <v>765</v>
      </c>
      <c r="B81" t="s">
        <v>160</v>
      </c>
      <c r="C81" t="s">
        <v>83</v>
      </c>
      <c r="D81" t="s">
        <v>23</v>
      </c>
      <c r="E81" t="s">
        <v>43</v>
      </c>
      <c r="F81" t="s">
        <v>17</v>
      </c>
      <c r="G81" t="s">
        <v>18</v>
      </c>
      <c r="H81" t="s">
        <v>33</v>
      </c>
      <c r="I81">
        <v>9</v>
      </c>
      <c r="J81">
        <v>9321.57</v>
      </c>
      <c r="K81">
        <v>6970.23</v>
      </c>
      <c r="L81">
        <v>2351.34</v>
      </c>
      <c r="M81" s="5" t="str">
        <f>TEXT(Table2[[#This Row],[Order Date]],"mm")</f>
        <v>02</v>
      </c>
      <c r="N81">
        <f>YEAR(Table2[[#This Row],[Order Date]])</f>
        <v>2025</v>
      </c>
    </row>
    <row r="82" spans="1:14" x14ac:dyDescent="0.3">
      <c r="A82" t="s">
        <v>768</v>
      </c>
      <c r="B82" t="s">
        <v>384</v>
      </c>
      <c r="C82" t="s">
        <v>70</v>
      </c>
      <c r="D82" t="s">
        <v>54</v>
      </c>
      <c r="E82" t="s">
        <v>55</v>
      </c>
      <c r="F82" t="s">
        <v>17</v>
      </c>
      <c r="G82" t="s">
        <v>76</v>
      </c>
      <c r="H82" t="s">
        <v>19</v>
      </c>
      <c r="I82">
        <v>6</v>
      </c>
      <c r="J82">
        <v>14071.92</v>
      </c>
      <c r="K82">
        <v>10262.16</v>
      </c>
      <c r="L82">
        <v>3809.76</v>
      </c>
      <c r="M82" s="5" t="str">
        <f>TEXT(Table2[[#This Row],[Order Date]],"mm")</f>
        <v>02</v>
      </c>
      <c r="N82">
        <f>YEAR(Table2[[#This Row],[Order Date]])</f>
        <v>2025</v>
      </c>
    </row>
    <row r="83" spans="1:14" x14ac:dyDescent="0.3">
      <c r="A83" t="s">
        <v>797</v>
      </c>
      <c r="B83" t="s">
        <v>420</v>
      </c>
      <c r="C83" t="s">
        <v>263</v>
      </c>
      <c r="D83" t="s">
        <v>48</v>
      </c>
      <c r="E83" t="s">
        <v>49</v>
      </c>
      <c r="F83" t="s">
        <v>17</v>
      </c>
      <c r="G83" t="s">
        <v>18</v>
      </c>
      <c r="H83" t="s">
        <v>64</v>
      </c>
      <c r="I83">
        <v>1</v>
      </c>
      <c r="J83">
        <v>1564.44</v>
      </c>
      <c r="K83">
        <v>1299.3699999999999</v>
      </c>
      <c r="L83">
        <v>265.07</v>
      </c>
      <c r="M83" s="5" t="str">
        <f>TEXT(Table2[[#This Row],[Order Date]],"mm")</f>
        <v>02</v>
      </c>
      <c r="N83">
        <f>YEAR(Table2[[#This Row],[Order Date]])</f>
        <v>2025</v>
      </c>
    </row>
    <row r="84" spans="1:14" x14ac:dyDescent="0.3">
      <c r="A84" t="s">
        <v>835</v>
      </c>
      <c r="B84" t="s">
        <v>836</v>
      </c>
      <c r="C84" t="s">
        <v>335</v>
      </c>
      <c r="D84" t="s">
        <v>48</v>
      </c>
      <c r="E84" t="s">
        <v>84</v>
      </c>
      <c r="F84" t="s">
        <v>50</v>
      </c>
      <c r="G84" t="s">
        <v>95</v>
      </c>
      <c r="H84" t="s">
        <v>27</v>
      </c>
      <c r="I84">
        <v>3</v>
      </c>
      <c r="J84">
        <v>2714.73</v>
      </c>
      <c r="K84">
        <v>1723.74</v>
      </c>
      <c r="L84">
        <v>990.99</v>
      </c>
      <c r="M84" s="5" t="str">
        <f>TEXT(Table2[[#This Row],[Order Date]],"mm")</f>
        <v>02</v>
      </c>
      <c r="N84">
        <f>YEAR(Table2[[#This Row],[Order Date]])</f>
        <v>2025</v>
      </c>
    </row>
    <row r="85" spans="1:14" x14ac:dyDescent="0.3">
      <c r="A85" t="s">
        <v>837</v>
      </c>
      <c r="B85" t="s">
        <v>376</v>
      </c>
      <c r="C85" t="s">
        <v>42</v>
      </c>
      <c r="D85" t="s">
        <v>23</v>
      </c>
      <c r="E85" t="s">
        <v>37</v>
      </c>
      <c r="F85" t="s">
        <v>17</v>
      </c>
      <c r="G85" t="s">
        <v>38</v>
      </c>
      <c r="H85" t="s">
        <v>85</v>
      </c>
      <c r="I85">
        <v>2</v>
      </c>
      <c r="J85">
        <v>6050.96</v>
      </c>
      <c r="K85">
        <v>3830</v>
      </c>
      <c r="L85">
        <v>2220.96</v>
      </c>
      <c r="M85" s="5" t="str">
        <f>TEXT(Table2[[#This Row],[Order Date]],"mm")</f>
        <v>02</v>
      </c>
      <c r="N85">
        <f>YEAR(Table2[[#This Row],[Order Date]])</f>
        <v>2025</v>
      </c>
    </row>
    <row r="86" spans="1:14" x14ac:dyDescent="0.3">
      <c r="A86" t="s">
        <v>845</v>
      </c>
      <c r="B86" t="s">
        <v>708</v>
      </c>
      <c r="C86" t="s">
        <v>103</v>
      </c>
      <c r="D86" t="s">
        <v>15</v>
      </c>
      <c r="E86" t="s">
        <v>16</v>
      </c>
      <c r="F86" t="s">
        <v>17</v>
      </c>
      <c r="G86" t="s">
        <v>63</v>
      </c>
      <c r="H86" t="s">
        <v>60</v>
      </c>
      <c r="I86">
        <v>6</v>
      </c>
      <c r="J86">
        <v>11965.26</v>
      </c>
      <c r="K86">
        <v>8573.58</v>
      </c>
      <c r="L86">
        <v>3391.68</v>
      </c>
      <c r="M86" s="5" t="str">
        <f>TEXT(Table2[[#This Row],[Order Date]],"mm")</f>
        <v>02</v>
      </c>
      <c r="N86">
        <f>YEAR(Table2[[#This Row],[Order Date]])</f>
        <v>2025</v>
      </c>
    </row>
    <row r="87" spans="1:14" x14ac:dyDescent="0.3">
      <c r="A87" t="s">
        <v>81</v>
      </c>
      <c r="B87" t="s">
        <v>82</v>
      </c>
      <c r="C87" t="s">
        <v>83</v>
      </c>
      <c r="D87" t="s">
        <v>48</v>
      </c>
      <c r="E87" t="s">
        <v>84</v>
      </c>
      <c r="F87" t="s">
        <v>50</v>
      </c>
      <c r="G87" t="s">
        <v>51</v>
      </c>
      <c r="H87" t="s">
        <v>85</v>
      </c>
      <c r="I87">
        <v>4</v>
      </c>
      <c r="J87">
        <v>6225.64</v>
      </c>
      <c r="K87">
        <v>4714.28</v>
      </c>
      <c r="L87">
        <v>1511.36</v>
      </c>
      <c r="M87" s="5" t="str">
        <f>TEXT(Table2[[#This Row],[Order Date]],"mm")</f>
        <v>03</v>
      </c>
      <c r="N87">
        <f>YEAR(Table2[[#This Row],[Order Date]])</f>
        <v>2025</v>
      </c>
    </row>
    <row r="88" spans="1:14" x14ac:dyDescent="0.3">
      <c r="A88" t="s">
        <v>96</v>
      </c>
      <c r="B88" t="s">
        <v>97</v>
      </c>
      <c r="C88" t="s">
        <v>22</v>
      </c>
      <c r="D88" t="s">
        <v>54</v>
      </c>
      <c r="E88" t="s">
        <v>98</v>
      </c>
      <c r="F88" t="s">
        <v>50</v>
      </c>
      <c r="G88" t="s">
        <v>80</v>
      </c>
      <c r="H88" t="s">
        <v>44</v>
      </c>
      <c r="I88">
        <v>2</v>
      </c>
      <c r="J88">
        <v>3062.44</v>
      </c>
      <c r="K88">
        <v>2331.04</v>
      </c>
      <c r="L88">
        <v>731.4</v>
      </c>
      <c r="M88" s="5" t="str">
        <f>TEXT(Table2[[#This Row],[Order Date]],"mm")</f>
        <v>03</v>
      </c>
      <c r="N88">
        <f>YEAR(Table2[[#This Row],[Order Date]])</f>
        <v>2025</v>
      </c>
    </row>
    <row r="89" spans="1:14" x14ac:dyDescent="0.3">
      <c r="A89" t="s">
        <v>128</v>
      </c>
      <c r="B89" t="s">
        <v>129</v>
      </c>
      <c r="C89" t="s">
        <v>113</v>
      </c>
      <c r="D89" t="s">
        <v>15</v>
      </c>
      <c r="E89" t="s">
        <v>16</v>
      </c>
      <c r="F89" t="s">
        <v>50</v>
      </c>
      <c r="G89" t="s">
        <v>51</v>
      </c>
      <c r="H89" t="s">
        <v>27</v>
      </c>
      <c r="I89">
        <v>10</v>
      </c>
      <c r="J89">
        <v>1706.6</v>
      </c>
      <c r="K89">
        <v>1268.5</v>
      </c>
      <c r="L89">
        <v>438.1</v>
      </c>
      <c r="M89" s="5" t="str">
        <f>TEXT(Table2[[#This Row],[Order Date]],"mm")</f>
        <v>03</v>
      </c>
      <c r="N89">
        <f>YEAR(Table2[[#This Row],[Order Date]])</f>
        <v>2025</v>
      </c>
    </row>
    <row r="90" spans="1:14" x14ac:dyDescent="0.3">
      <c r="A90" t="s">
        <v>188</v>
      </c>
      <c r="B90" t="s">
        <v>189</v>
      </c>
      <c r="C90" t="s">
        <v>36</v>
      </c>
      <c r="D90" t="s">
        <v>48</v>
      </c>
      <c r="E90" t="s">
        <v>49</v>
      </c>
      <c r="F90" t="s">
        <v>50</v>
      </c>
      <c r="G90" t="s">
        <v>51</v>
      </c>
      <c r="H90" t="s">
        <v>64</v>
      </c>
      <c r="I90">
        <v>4</v>
      </c>
      <c r="J90">
        <v>4568.32</v>
      </c>
      <c r="K90">
        <v>3955.56</v>
      </c>
      <c r="L90">
        <v>612.76</v>
      </c>
      <c r="M90" s="5" t="str">
        <f>TEXT(Table2[[#This Row],[Order Date]],"mm")</f>
        <v>03</v>
      </c>
      <c r="N90">
        <f>YEAR(Table2[[#This Row],[Order Date]])</f>
        <v>2025</v>
      </c>
    </row>
    <row r="91" spans="1:14" x14ac:dyDescent="0.3">
      <c r="A91" t="s">
        <v>196</v>
      </c>
      <c r="B91" t="s">
        <v>197</v>
      </c>
      <c r="C91" t="s">
        <v>113</v>
      </c>
      <c r="D91" t="s">
        <v>15</v>
      </c>
      <c r="E91" t="s">
        <v>89</v>
      </c>
      <c r="F91" t="s">
        <v>17</v>
      </c>
      <c r="G91" t="s">
        <v>38</v>
      </c>
      <c r="H91" t="s">
        <v>33</v>
      </c>
      <c r="I91">
        <v>2</v>
      </c>
      <c r="J91">
        <v>1650.92</v>
      </c>
      <c r="K91">
        <v>1411.52</v>
      </c>
      <c r="L91">
        <v>239.4</v>
      </c>
      <c r="M91" s="5" t="str">
        <f>TEXT(Table2[[#This Row],[Order Date]],"mm")</f>
        <v>03</v>
      </c>
      <c r="N91">
        <f>YEAR(Table2[[#This Row],[Order Date]])</f>
        <v>2025</v>
      </c>
    </row>
    <row r="92" spans="1:14" x14ac:dyDescent="0.3">
      <c r="A92" t="s">
        <v>207</v>
      </c>
      <c r="B92" t="s">
        <v>208</v>
      </c>
      <c r="C92" t="s">
        <v>106</v>
      </c>
      <c r="D92" t="s">
        <v>48</v>
      </c>
      <c r="E92" t="s">
        <v>49</v>
      </c>
      <c r="F92" t="s">
        <v>25</v>
      </c>
      <c r="G92" t="s">
        <v>56</v>
      </c>
      <c r="H92" t="s">
        <v>27</v>
      </c>
      <c r="I92">
        <v>2</v>
      </c>
      <c r="J92">
        <v>2119.02</v>
      </c>
      <c r="K92">
        <v>1655.9</v>
      </c>
      <c r="L92">
        <v>463.12</v>
      </c>
      <c r="M92" s="5" t="str">
        <f>TEXT(Table2[[#This Row],[Order Date]],"mm")</f>
        <v>03</v>
      </c>
      <c r="N92">
        <f>YEAR(Table2[[#This Row],[Order Date]])</f>
        <v>2025</v>
      </c>
    </row>
    <row r="93" spans="1:14" x14ac:dyDescent="0.3">
      <c r="A93" t="s">
        <v>246</v>
      </c>
      <c r="B93" t="s">
        <v>208</v>
      </c>
      <c r="C93" t="s">
        <v>94</v>
      </c>
      <c r="D93" t="s">
        <v>15</v>
      </c>
      <c r="E93" t="s">
        <v>183</v>
      </c>
      <c r="F93" t="s">
        <v>17</v>
      </c>
      <c r="G93" t="s">
        <v>18</v>
      </c>
      <c r="H93" t="s">
        <v>27</v>
      </c>
      <c r="I93">
        <v>4</v>
      </c>
      <c r="J93">
        <v>9868.68</v>
      </c>
      <c r="K93">
        <v>6387.88</v>
      </c>
      <c r="L93">
        <v>3480.8</v>
      </c>
      <c r="M93" s="5" t="str">
        <f>TEXT(Table2[[#This Row],[Order Date]],"mm")</f>
        <v>03</v>
      </c>
      <c r="N93">
        <f>YEAR(Table2[[#This Row],[Order Date]])</f>
        <v>2025</v>
      </c>
    </row>
    <row r="94" spans="1:14" x14ac:dyDescent="0.3">
      <c r="A94" t="s">
        <v>282</v>
      </c>
      <c r="B94" t="s">
        <v>283</v>
      </c>
      <c r="C94" t="s">
        <v>70</v>
      </c>
      <c r="D94" t="s">
        <v>48</v>
      </c>
      <c r="E94" t="s">
        <v>84</v>
      </c>
      <c r="F94" t="s">
        <v>50</v>
      </c>
      <c r="G94" t="s">
        <v>110</v>
      </c>
      <c r="H94" t="s">
        <v>27</v>
      </c>
      <c r="I94">
        <v>2</v>
      </c>
      <c r="J94">
        <v>3423.48</v>
      </c>
      <c r="K94">
        <v>2680.84</v>
      </c>
      <c r="L94">
        <v>742.64</v>
      </c>
      <c r="M94" s="5" t="str">
        <f>TEXT(Table2[[#This Row],[Order Date]],"mm")</f>
        <v>03</v>
      </c>
      <c r="N94">
        <f>YEAR(Table2[[#This Row],[Order Date]])</f>
        <v>2025</v>
      </c>
    </row>
    <row r="95" spans="1:14" x14ac:dyDescent="0.3">
      <c r="A95" t="s">
        <v>290</v>
      </c>
      <c r="B95" t="s">
        <v>291</v>
      </c>
      <c r="C95" t="s">
        <v>113</v>
      </c>
      <c r="D95" t="s">
        <v>48</v>
      </c>
      <c r="E95" t="s">
        <v>49</v>
      </c>
      <c r="F95" t="s">
        <v>17</v>
      </c>
      <c r="G95" t="s">
        <v>38</v>
      </c>
      <c r="H95" t="s">
        <v>33</v>
      </c>
      <c r="I95">
        <v>10</v>
      </c>
      <c r="J95">
        <v>25760</v>
      </c>
      <c r="K95">
        <v>16210</v>
      </c>
      <c r="L95">
        <v>9550</v>
      </c>
      <c r="M95" s="5" t="str">
        <f>TEXT(Table2[[#This Row],[Order Date]],"mm")</f>
        <v>03</v>
      </c>
      <c r="N95">
        <f>YEAR(Table2[[#This Row],[Order Date]])</f>
        <v>2025</v>
      </c>
    </row>
    <row r="96" spans="1:14" x14ac:dyDescent="0.3">
      <c r="A96" t="s">
        <v>342</v>
      </c>
      <c r="B96" t="s">
        <v>343</v>
      </c>
      <c r="C96" t="s">
        <v>36</v>
      </c>
      <c r="D96" t="s">
        <v>15</v>
      </c>
      <c r="E96" t="s">
        <v>89</v>
      </c>
      <c r="F96" t="s">
        <v>25</v>
      </c>
      <c r="G96" t="s">
        <v>158</v>
      </c>
      <c r="H96" t="s">
        <v>39</v>
      </c>
      <c r="I96">
        <v>7</v>
      </c>
      <c r="J96">
        <v>3541.23</v>
      </c>
      <c r="K96">
        <v>2324.84</v>
      </c>
      <c r="L96">
        <v>1216.3900000000001</v>
      </c>
      <c r="M96" s="5" t="str">
        <f>TEXT(Table2[[#This Row],[Order Date]],"mm")</f>
        <v>03</v>
      </c>
      <c r="N96">
        <f>YEAR(Table2[[#This Row],[Order Date]])</f>
        <v>2025</v>
      </c>
    </row>
    <row r="97" spans="1:14" x14ac:dyDescent="0.3">
      <c r="A97" t="s">
        <v>352</v>
      </c>
      <c r="B97" t="s">
        <v>353</v>
      </c>
      <c r="C97" t="s">
        <v>14</v>
      </c>
      <c r="D97" t="s">
        <v>48</v>
      </c>
      <c r="E97" t="s">
        <v>107</v>
      </c>
      <c r="F97" t="s">
        <v>50</v>
      </c>
      <c r="G97" t="s">
        <v>51</v>
      </c>
      <c r="H97" t="s">
        <v>39</v>
      </c>
      <c r="I97">
        <v>2</v>
      </c>
      <c r="J97">
        <v>3450.9</v>
      </c>
      <c r="K97">
        <v>2207.58</v>
      </c>
      <c r="L97">
        <v>1243.32</v>
      </c>
      <c r="M97" s="5" t="str">
        <f>TEXT(Table2[[#This Row],[Order Date]],"mm")</f>
        <v>03</v>
      </c>
      <c r="N97">
        <f>YEAR(Table2[[#This Row],[Order Date]])</f>
        <v>2025</v>
      </c>
    </row>
    <row r="98" spans="1:14" x14ac:dyDescent="0.3">
      <c r="A98" t="s">
        <v>358</v>
      </c>
      <c r="B98" t="s">
        <v>359</v>
      </c>
      <c r="C98" t="s">
        <v>30</v>
      </c>
      <c r="D98" t="s">
        <v>48</v>
      </c>
      <c r="E98" t="s">
        <v>84</v>
      </c>
      <c r="F98" t="s">
        <v>50</v>
      </c>
      <c r="G98" t="s">
        <v>51</v>
      </c>
      <c r="H98" t="s">
        <v>39</v>
      </c>
      <c r="I98">
        <v>10</v>
      </c>
      <c r="J98">
        <v>6029.6</v>
      </c>
      <c r="K98">
        <v>5200.3999999999996</v>
      </c>
      <c r="L98">
        <v>829.2</v>
      </c>
      <c r="M98" s="5" t="str">
        <f>TEXT(Table2[[#This Row],[Order Date]],"mm")</f>
        <v>03</v>
      </c>
      <c r="N98">
        <f>YEAR(Table2[[#This Row],[Order Date]])</f>
        <v>2025</v>
      </c>
    </row>
    <row r="99" spans="1:14" x14ac:dyDescent="0.3">
      <c r="A99" t="s">
        <v>379</v>
      </c>
      <c r="B99" t="s">
        <v>380</v>
      </c>
      <c r="C99" t="s">
        <v>30</v>
      </c>
      <c r="D99" t="s">
        <v>15</v>
      </c>
      <c r="E99" t="s">
        <v>31</v>
      </c>
      <c r="F99" t="s">
        <v>25</v>
      </c>
      <c r="G99" t="s">
        <v>32</v>
      </c>
      <c r="H99" t="s">
        <v>33</v>
      </c>
      <c r="I99">
        <v>8</v>
      </c>
      <c r="J99">
        <v>1903.44</v>
      </c>
      <c r="K99">
        <v>1296.8800000000001</v>
      </c>
      <c r="L99">
        <v>606.55999999999995</v>
      </c>
      <c r="M99" s="5" t="str">
        <f>TEXT(Table2[[#This Row],[Order Date]],"mm")</f>
        <v>03</v>
      </c>
      <c r="N99">
        <f>YEAR(Table2[[#This Row],[Order Date]])</f>
        <v>2025</v>
      </c>
    </row>
    <row r="100" spans="1:14" x14ac:dyDescent="0.3">
      <c r="A100" t="s">
        <v>385</v>
      </c>
      <c r="B100" t="s">
        <v>291</v>
      </c>
      <c r="C100" t="s">
        <v>42</v>
      </c>
      <c r="D100" t="s">
        <v>54</v>
      </c>
      <c r="E100" t="s">
        <v>75</v>
      </c>
      <c r="F100" t="s">
        <v>25</v>
      </c>
      <c r="G100" t="s">
        <v>158</v>
      </c>
      <c r="H100" t="s">
        <v>39</v>
      </c>
      <c r="I100">
        <v>4</v>
      </c>
      <c r="J100">
        <v>2892.04</v>
      </c>
      <c r="K100">
        <v>2047.04</v>
      </c>
      <c r="L100">
        <v>845</v>
      </c>
      <c r="M100" s="5" t="str">
        <f>TEXT(Table2[[#This Row],[Order Date]],"mm")</f>
        <v>03</v>
      </c>
      <c r="N100">
        <f>YEAR(Table2[[#This Row],[Order Date]])</f>
        <v>2025</v>
      </c>
    </row>
    <row r="101" spans="1:14" x14ac:dyDescent="0.3">
      <c r="A101" t="s">
        <v>387</v>
      </c>
      <c r="B101" t="s">
        <v>197</v>
      </c>
      <c r="C101" t="s">
        <v>47</v>
      </c>
      <c r="D101" t="s">
        <v>15</v>
      </c>
      <c r="E101" t="s">
        <v>183</v>
      </c>
      <c r="F101" t="s">
        <v>17</v>
      </c>
      <c r="G101" t="s">
        <v>63</v>
      </c>
      <c r="H101" t="s">
        <v>64</v>
      </c>
      <c r="I101">
        <v>10</v>
      </c>
      <c r="J101">
        <v>21458.5</v>
      </c>
      <c r="K101">
        <v>17769.5</v>
      </c>
      <c r="L101">
        <v>3689</v>
      </c>
      <c r="M101" s="5" t="str">
        <f>TEXT(Table2[[#This Row],[Order Date]],"mm")</f>
        <v>03</v>
      </c>
      <c r="N101">
        <f>YEAR(Table2[[#This Row],[Order Date]])</f>
        <v>2025</v>
      </c>
    </row>
    <row r="102" spans="1:14" x14ac:dyDescent="0.3">
      <c r="A102" t="s">
        <v>403</v>
      </c>
      <c r="B102" t="s">
        <v>353</v>
      </c>
      <c r="C102" t="s">
        <v>30</v>
      </c>
      <c r="D102" t="s">
        <v>54</v>
      </c>
      <c r="E102" t="s">
        <v>75</v>
      </c>
      <c r="F102" t="s">
        <v>17</v>
      </c>
      <c r="G102" t="s">
        <v>38</v>
      </c>
      <c r="H102" t="s">
        <v>60</v>
      </c>
      <c r="I102">
        <v>7</v>
      </c>
      <c r="J102">
        <v>8519.35</v>
      </c>
      <c r="K102">
        <v>6075.09</v>
      </c>
      <c r="L102">
        <v>2444.2600000000002</v>
      </c>
      <c r="M102" s="5" t="str">
        <f>TEXT(Table2[[#This Row],[Order Date]],"mm")</f>
        <v>03</v>
      </c>
      <c r="N102">
        <f>YEAR(Table2[[#This Row],[Order Date]])</f>
        <v>2025</v>
      </c>
    </row>
    <row r="103" spans="1:14" x14ac:dyDescent="0.3">
      <c r="A103" t="s">
        <v>431</v>
      </c>
      <c r="B103" t="s">
        <v>283</v>
      </c>
      <c r="C103" t="s">
        <v>106</v>
      </c>
      <c r="D103" t="s">
        <v>54</v>
      </c>
      <c r="E103" t="s">
        <v>133</v>
      </c>
      <c r="F103" t="s">
        <v>25</v>
      </c>
      <c r="G103" t="s">
        <v>56</v>
      </c>
      <c r="H103" t="s">
        <v>64</v>
      </c>
      <c r="I103">
        <v>7</v>
      </c>
      <c r="J103">
        <v>11091.43</v>
      </c>
      <c r="K103">
        <v>7458.64</v>
      </c>
      <c r="L103">
        <v>3632.79</v>
      </c>
      <c r="M103" s="5" t="str">
        <f>TEXT(Table2[[#This Row],[Order Date]],"mm")</f>
        <v>03</v>
      </c>
      <c r="N103">
        <f>YEAR(Table2[[#This Row],[Order Date]])</f>
        <v>2025</v>
      </c>
    </row>
    <row r="104" spans="1:14" x14ac:dyDescent="0.3">
      <c r="A104" t="s">
        <v>439</v>
      </c>
      <c r="B104" t="s">
        <v>189</v>
      </c>
      <c r="C104" t="s">
        <v>74</v>
      </c>
      <c r="D104" t="s">
        <v>54</v>
      </c>
      <c r="E104" t="s">
        <v>133</v>
      </c>
      <c r="F104" t="s">
        <v>25</v>
      </c>
      <c r="G104" t="s">
        <v>32</v>
      </c>
      <c r="H104" t="s">
        <v>27</v>
      </c>
      <c r="I104">
        <v>9</v>
      </c>
      <c r="J104">
        <v>15209.73</v>
      </c>
      <c r="K104">
        <v>12430.17</v>
      </c>
      <c r="L104">
        <v>2779.56</v>
      </c>
      <c r="M104" s="5" t="str">
        <f>TEXT(Table2[[#This Row],[Order Date]],"mm")</f>
        <v>03</v>
      </c>
      <c r="N104">
        <f>YEAR(Table2[[#This Row],[Order Date]])</f>
        <v>2025</v>
      </c>
    </row>
    <row r="105" spans="1:14" x14ac:dyDescent="0.3">
      <c r="A105" t="s">
        <v>443</v>
      </c>
      <c r="B105" t="s">
        <v>129</v>
      </c>
      <c r="C105" t="s">
        <v>132</v>
      </c>
      <c r="D105" t="s">
        <v>54</v>
      </c>
      <c r="E105" t="s">
        <v>98</v>
      </c>
      <c r="F105" t="s">
        <v>17</v>
      </c>
      <c r="G105" t="s">
        <v>38</v>
      </c>
      <c r="H105" t="s">
        <v>19</v>
      </c>
      <c r="I105">
        <v>1</v>
      </c>
      <c r="J105">
        <v>401.55</v>
      </c>
      <c r="K105">
        <v>309.23</v>
      </c>
      <c r="L105">
        <v>92.32</v>
      </c>
      <c r="M105" s="5" t="str">
        <f>TEXT(Table2[[#This Row],[Order Date]],"mm")</f>
        <v>03</v>
      </c>
      <c r="N105">
        <f>YEAR(Table2[[#This Row],[Order Date]])</f>
        <v>2025</v>
      </c>
    </row>
    <row r="106" spans="1:14" x14ac:dyDescent="0.3">
      <c r="A106" t="s">
        <v>444</v>
      </c>
      <c r="B106" t="s">
        <v>445</v>
      </c>
      <c r="C106" t="s">
        <v>79</v>
      </c>
      <c r="D106" t="s">
        <v>54</v>
      </c>
      <c r="E106" t="s">
        <v>75</v>
      </c>
      <c r="F106" t="s">
        <v>25</v>
      </c>
      <c r="G106" t="s">
        <v>158</v>
      </c>
      <c r="H106" t="s">
        <v>33</v>
      </c>
      <c r="I106">
        <v>1</v>
      </c>
      <c r="J106">
        <v>781.75</v>
      </c>
      <c r="K106">
        <v>548.75</v>
      </c>
      <c r="L106">
        <v>233</v>
      </c>
      <c r="M106" s="5" t="str">
        <f>TEXT(Table2[[#This Row],[Order Date]],"mm")</f>
        <v>03</v>
      </c>
      <c r="N106">
        <f>YEAR(Table2[[#This Row],[Order Date]])</f>
        <v>2025</v>
      </c>
    </row>
    <row r="107" spans="1:14" x14ac:dyDescent="0.3">
      <c r="A107" t="s">
        <v>446</v>
      </c>
      <c r="B107" t="s">
        <v>197</v>
      </c>
      <c r="C107" t="s">
        <v>106</v>
      </c>
      <c r="D107" t="s">
        <v>54</v>
      </c>
      <c r="E107" t="s">
        <v>98</v>
      </c>
      <c r="F107" t="s">
        <v>50</v>
      </c>
      <c r="G107" t="s">
        <v>95</v>
      </c>
      <c r="H107" t="s">
        <v>39</v>
      </c>
      <c r="I107">
        <v>10</v>
      </c>
      <c r="J107">
        <v>10716.2</v>
      </c>
      <c r="K107">
        <v>7723.7</v>
      </c>
      <c r="L107">
        <v>2992.5</v>
      </c>
      <c r="M107" s="5" t="str">
        <f>TEXT(Table2[[#This Row],[Order Date]],"mm")</f>
        <v>03</v>
      </c>
      <c r="N107">
        <f>YEAR(Table2[[#This Row],[Order Date]])</f>
        <v>2025</v>
      </c>
    </row>
    <row r="108" spans="1:14" x14ac:dyDescent="0.3">
      <c r="A108" t="s">
        <v>516</v>
      </c>
      <c r="B108" t="s">
        <v>517</v>
      </c>
      <c r="C108" t="s">
        <v>161</v>
      </c>
      <c r="D108" t="s">
        <v>54</v>
      </c>
      <c r="E108" t="s">
        <v>75</v>
      </c>
      <c r="F108" t="s">
        <v>25</v>
      </c>
      <c r="G108" t="s">
        <v>71</v>
      </c>
      <c r="H108" t="s">
        <v>27</v>
      </c>
      <c r="I108">
        <v>5</v>
      </c>
      <c r="J108">
        <v>3895.2</v>
      </c>
      <c r="K108">
        <v>3283.25</v>
      </c>
      <c r="L108">
        <v>611.95000000000005</v>
      </c>
      <c r="M108" s="5" t="str">
        <f>TEXT(Table2[[#This Row],[Order Date]],"mm")</f>
        <v>03</v>
      </c>
      <c r="N108">
        <f>YEAR(Table2[[#This Row],[Order Date]])</f>
        <v>2025</v>
      </c>
    </row>
    <row r="109" spans="1:14" x14ac:dyDescent="0.3">
      <c r="A109" t="s">
        <v>535</v>
      </c>
      <c r="B109" t="s">
        <v>445</v>
      </c>
      <c r="C109" t="s">
        <v>74</v>
      </c>
      <c r="D109" t="s">
        <v>54</v>
      </c>
      <c r="E109" t="s">
        <v>98</v>
      </c>
      <c r="F109" t="s">
        <v>17</v>
      </c>
      <c r="G109" t="s">
        <v>63</v>
      </c>
      <c r="H109" t="s">
        <v>85</v>
      </c>
      <c r="I109">
        <v>3</v>
      </c>
      <c r="J109">
        <v>5143.17</v>
      </c>
      <c r="K109">
        <v>4260.12</v>
      </c>
      <c r="L109">
        <v>883.05</v>
      </c>
      <c r="M109" s="5" t="str">
        <f>TEXT(Table2[[#This Row],[Order Date]],"mm")</f>
        <v>03</v>
      </c>
      <c r="N109">
        <f>YEAR(Table2[[#This Row],[Order Date]])</f>
        <v>2025</v>
      </c>
    </row>
    <row r="110" spans="1:14" x14ac:dyDescent="0.3">
      <c r="A110" t="s">
        <v>572</v>
      </c>
      <c r="B110" t="s">
        <v>189</v>
      </c>
      <c r="C110" t="s">
        <v>161</v>
      </c>
      <c r="D110" t="s">
        <v>15</v>
      </c>
      <c r="E110" t="s">
        <v>31</v>
      </c>
      <c r="F110" t="s">
        <v>25</v>
      </c>
      <c r="G110" t="s">
        <v>32</v>
      </c>
      <c r="H110" t="s">
        <v>85</v>
      </c>
      <c r="I110">
        <v>5</v>
      </c>
      <c r="J110">
        <v>5835.35</v>
      </c>
      <c r="K110">
        <v>4677.6499999999996</v>
      </c>
      <c r="L110">
        <v>1157.7</v>
      </c>
      <c r="M110" s="5" t="str">
        <f>TEXT(Table2[[#This Row],[Order Date]],"mm")</f>
        <v>03</v>
      </c>
      <c r="N110">
        <f>YEAR(Table2[[#This Row],[Order Date]])</f>
        <v>2025</v>
      </c>
    </row>
    <row r="111" spans="1:14" x14ac:dyDescent="0.3">
      <c r="A111" t="s">
        <v>578</v>
      </c>
      <c r="B111" t="s">
        <v>579</v>
      </c>
      <c r="C111" t="s">
        <v>94</v>
      </c>
      <c r="D111" t="s">
        <v>15</v>
      </c>
      <c r="E111" t="s">
        <v>89</v>
      </c>
      <c r="F111" t="s">
        <v>25</v>
      </c>
      <c r="G111" t="s">
        <v>71</v>
      </c>
      <c r="H111" t="s">
        <v>19</v>
      </c>
      <c r="I111">
        <v>2</v>
      </c>
      <c r="J111">
        <v>4886.42</v>
      </c>
      <c r="K111">
        <v>3266.88</v>
      </c>
      <c r="L111">
        <v>1619.54</v>
      </c>
      <c r="M111" s="5" t="str">
        <f>TEXT(Table2[[#This Row],[Order Date]],"mm")</f>
        <v>03</v>
      </c>
      <c r="N111">
        <f>YEAR(Table2[[#This Row],[Order Date]])</f>
        <v>2025</v>
      </c>
    </row>
    <row r="112" spans="1:14" x14ac:dyDescent="0.3">
      <c r="A112" t="s">
        <v>585</v>
      </c>
      <c r="B112" t="s">
        <v>586</v>
      </c>
      <c r="C112" t="s">
        <v>113</v>
      </c>
      <c r="D112" t="s">
        <v>48</v>
      </c>
      <c r="E112" t="s">
        <v>107</v>
      </c>
      <c r="F112" t="s">
        <v>25</v>
      </c>
      <c r="G112" t="s">
        <v>158</v>
      </c>
      <c r="H112" t="s">
        <v>64</v>
      </c>
      <c r="I112">
        <v>9</v>
      </c>
      <c r="J112">
        <v>13620.69</v>
      </c>
      <c r="K112">
        <v>11477.07</v>
      </c>
      <c r="L112">
        <v>2143.62</v>
      </c>
      <c r="M112" s="5" t="str">
        <f>TEXT(Table2[[#This Row],[Order Date]],"mm")</f>
        <v>03</v>
      </c>
      <c r="N112">
        <f>YEAR(Table2[[#This Row],[Order Date]])</f>
        <v>2025</v>
      </c>
    </row>
    <row r="113" spans="1:14" x14ac:dyDescent="0.3">
      <c r="A113" t="s">
        <v>602</v>
      </c>
      <c r="B113" t="s">
        <v>343</v>
      </c>
      <c r="C113" t="s">
        <v>30</v>
      </c>
      <c r="D113" t="s">
        <v>54</v>
      </c>
      <c r="E113" t="s">
        <v>75</v>
      </c>
      <c r="F113" t="s">
        <v>17</v>
      </c>
      <c r="G113" t="s">
        <v>38</v>
      </c>
      <c r="H113" t="s">
        <v>64</v>
      </c>
      <c r="I113">
        <v>3</v>
      </c>
      <c r="J113">
        <v>5104.6499999999996</v>
      </c>
      <c r="K113">
        <v>3421.89</v>
      </c>
      <c r="L113">
        <v>1682.76</v>
      </c>
      <c r="M113" s="5" t="str">
        <f>TEXT(Table2[[#This Row],[Order Date]],"mm")</f>
        <v>03</v>
      </c>
      <c r="N113">
        <f>YEAR(Table2[[#This Row],[Order Date]])</f>
        <v>2025</v>
      </c>
    </row>
    <row r="114" spans="1:14" x14ac:dyDescent="0.3">
      <c r="A114" t="s">
        <v>603</v>
      </c>
      <c r="B114" t="s">
        <v>604</v>
      </c>
      <c r="C114" t="s">
        <v>132</v>
      </c>
      <c r="D114" t="s">
        <v>48</v>
      </c>
      <c r="E114" t="s">
        <v>67</v>
      </c>
      <c r="F114" t="s">
        <v>17</v>
      </c>
      <c r="G114" t="s">
        <v>63</v>
      </c>
      <c r="H114" t="s">
        <v>19</v>
      </c>
      <c r="I114">
        <v>10</v>
      </c>
      <c r="J114">
        <v>13565.4</v>
      </c>
      <c r="K114">
        <v>9841.7000000000007</v>
      </c>
      <c r="L114">
        <v>3723.7</v>
      </c>
      <c r="M114" s="5" t="str">
        <f>TEXT(Table2[[#This Row],[Order Date]],"mm")</f>
        <v>03</v>
      </c>
      <c r="N114">
        <f>YEAR(Table2[[#This Row],[Order Date]])</f>
        <v>2025</v>
      </c>
    </row>
    <row r="115" spans="1:14" x14ac:dyDescent="0.3">
      <c r="A115" t="s">
        <v>605</v>
      </c>
      <c r="B115" t="s">
        <v>82</v>
      </c>
      <c r="C115" t="s">
        <v>206</v>
      </c>
      <c r="D115" t="s">
        <v>48</v>
      </c>
      <c r="E115" t="s">
        <v>84</v>
      </c>
      <c r="F115" t="s">
        <v>25</v>
      </c>
      <c r="G115" t="s">
        <v>158</v>
      </c>
      <c r="H115" t="s">
        <v>27</v>
      </c>
      <c r="I115">
        <v>7</v>
      </c>
      <c r="J115">
        <v>9715.2999999999993</v>
      </c>
      <c r="K115">
        <v>8036.91</v>
      </c>
      <c r="L115">
        <v>1678.39</v>
      </c>
      <c r="M115" s="5" t="str">
        <f>TEXT(Table2[[#This Row],[Order Date]],"mm")</f>
        <v>03</v>
      </c>
      <c r="N115">
        <f>YEAR(Table2[[#This Row],[Order Date]])</f>
        <v>2025</v>
      </c>
    </row>
    <row r="116" spans="1:14" x14ac:dyDescent="0.3">
      <c r="A116" t="s">
        <v>632</v>
      </c>
      <c r="B116" t="s">
        <v>197</v>
      </c>
      <c r="C116" t="s">
        <v>30</v>
      </c>
      <c r="D116" t="s">
        <v>15</v>
      </c>
      <c r="E116" t="s">
        <v>89</v>
      </c>
      <c r="F116" t="s">
        <v>25</v>
      </c>
      <c r="G116" t="s">
        <v>32</v>
      </c>
      <c r="H116" t="s">
        <v>44</v>
      </c>
      <c r="I116">
        <v>2</v>
      </c>
      <c r="J116">
        <v>4165.78</v>
      </c>
      <c r="K116">
        <v>3038.78</v>
      </c>
      <c r="L116">
        <v>1127</v>
      </c>
      <c r="M116" s="5" t="str">
        <f>TEXT(Table2[[#This Row],[Order Date]],"mm")</f>
        <v>03</v>
      </c>
      <c r="N116">
        <f>YEAR(Table2[[#This Row],[Order Date]])</f>
        <v>2025</v>
      </c>
    </row>
    <row r="117" spans="1:14" x14ac:dyDescent="0.3">
      <c r="A117" t="s">
        <v>634</v>
      </c>
      <c r="B117" t="s">
        <v>283</v>
      </c>
      <c r="C117" t="s">
        <v>14</v>
      </c>
      <c r="D117" t="s">
        <v>15</v>
      </c>
      <c r="E117" t="s">
        <v>89</v>
      </c>
      <c r="F117" t="s">
        <v>25</v>
      </c>
      <c r="G117" t="s">
        <v>32</v>
      </c>
      <c r="H117" t="s">
        <v>39</v>
      </c>
      <c r="I117">
        <v>3</v>
      </c>
      <c r="J117">
        <v>1495.53</v>
      </c>
      <c r="K117">
        <v>1178.4000000000001</v>
      </c>
      <c r="L117">
        <v>317.13</v>
      </c>
      <c r="M117" s="5" t="str">
        <f>TEXT(Table2[[#This Row],[Order Date]],"mm")</f>
        <v>03</v>
      </c>
      <c r="N117">
        <f>YEAR(Table2[[#This Row],[Order Date]])</f>
        <v>2025</v>
      </c>
    </row>
    <row r="118" spans="1:14" x14ac:dyDescent="0.3">
      <c r="A118" t="s">
        <v>651</v>
      </c>
      <c r="B118" t="s">
        <v>291</v>
      </c>
      <c r="C118" t="s">
        <v>83</v>
      </c>
      <c r="D118" t="s">
        <v>23</v>
      </c>
      <c r="E118" t="s">
        <v>43</v>
      </c>
      <c r="F118" t="s">
        <v>50</v>
      </c>
      <c r="G118" t="s">
        <v>134</v>
      </c>
      <c r="H118" t="s">
        <v>39</v>
      </c>
      <c r="I118">
        <v>6</v>
      </c>
      <c r="J118">
        <v>8423.1</v>
      </c>
      <c r="K118">
        <v>5604</v>
      </c>
      <c r="L118">
        <v>2819.1</v>
      </c>
      <c r="M118" s="5" t="str">
        <f>TEXT(Table2[[#This Row],[Order Date]],"mm")</f>
        <v>03</v>
      </c>
      <c r="N118">
        <f>YEAR(Table2[[#This Row],[Order Date]])</f>
        <v>2025</v>
      </c>
    </row>
    <row r="119" spans="1:14" x14ac:dyDescent="0.3">
      <c r="A119" t="s">
        <v>658</v>
      </c>
      <c r="B119" t="s">
        <v>659</v>
      </c>
      <c r="C119" t="s">
        <v>36</v>
      </c>
      <c r="D119" t="s">
        <v>23</v>
      </c>
      <c r="E119" t="s">
        <v>59</v>
      </c>
      <c r="F119" t="s">
        <v>25</v>
      </c>
      <c r="G119" t="s">
        <v>32</v>
      </c>
      <c r="H119" t="s">
        <v>39</v>
      </c>
      <c r="I119">
        <v>6</v>
      </c>
      <c r="J119">
        <v>6841.68</v>
      </c>
      <c r="K119">
        <v>4318.26</v>
      </c>
      <c r="L119">
        <v>2523.42</v>
      </c>
      <c r="M119" s="5" t="str">
        <f>TEXT(Table2[[#This Row],[Order Date]],"mm")</f>
        <v>03</v>
      </c>
      <c r="N119">
        <f>YEAR(Table2[[#This Row],[Order Date]])</f>
        <v>2025</v>
      </c>
    </row>
    <row r="120" spans="1:14" x14ac:dyDescent="0.3">
      <c r="A120" t="s">
        <v>660</v>
      </c>
      <c r="B120" t="s">
        <v>579</v>
      </c>
      <c r="C120" t="s">
        <v>206</v>
      </c>
      <c r="D120" t="s">
        <v>54</v>
      </c>
      <c r="E120" t="s">
        <v>133</v>
      </c>
      <c r="F120" t="s">
        <v>50</v>
      </c>
      <c r="G120" t="s">
        <v>134</v>
      </c>
      <c r="H120" t="s">
        <v>85</v>
      </c>
      <c r="I120">
        <v>9</v>
      </c>
      <c r="J120">
        <v>5147.1000000000004</v>
      </c>
      <c r="K120">
        <v>3833.46</v>
      </c>
      <c r="L120">
        <v>1313.64</v>
      </c>
      <c r="M120" s="5" t="str">
        <f>TEXT(Table2[[#This Row],[Order Date]],"mm")</f>
        <v>03</v>
      </c>
      <c r="N120">
        <f>YEAR(Table2[[#This Row],[Order Date]])</f>
        <v>2025</v>
      </c>
    </row>
    <row r="121" spans="1:14" x14ac:dyDescent="0.3">
      <c r="A121" t="s">
        <v>675</v>
      </c>
      <c r="B121" t="s">
        <v>676</v>
      </c>
      <c r="C121" t="s">
        <v>113</v>
      </c>
      <c r="D121" t="s">
        <v>15</v>
      </c>
      <c r="E121" t="s">
        <v>183</v>
      </c>
      <c r="F121" t="s">
        <v>25</v>
      </c>
      <c r="G121" t="s">
        <v>26</v>
      </c>
      <c r="H121" t="s">
        <v>60</v>
      </c>
      <c r="I121">
        <v>3</v>
      </c>
      <c r="J121">
        <v>4100.79</v>
      </c>
      <c r="K121">
        <v>3508.89</v>
      </c>
      <c r="L121">
        <v>591.9</v>
      </c>
      <c r="M121" s="5" t="str">
        <f>TEXT(Table2[[#This Row],[Order Date]],"mm")</f>
        <v>03</v>
      </c>
      <c r="N121">
        <f>YEAR(Table2[[#This Row],[Order Date]])</f>
        <v>2025</v>
      </c>
    </row>
    <row r="122" spans="1:14" x14ac:dyDescent="0.3">
      <c r="A122" t="s">
        <v>690</v>
      </c>
      <c r="B122" t="s">
        <v>676</v>
      </c>
      <c r="C122" t="s">
        <v>83</v>
      </c>
      <c r="D122" t="s">
        <v>48</v>
      </c>
      <c r="E122" t="s">
        <v>67</v>
      </c>
      <c r="F122" t="s">
        <v>25</v>
      </c>
      <c r="G122" t="s">
        <v>56</v>
      </c>
      <c r="H122" t="s">
        <v>19</v>
      </c>
      <c r="I122">
        <v>6</v>
      </c>
      <c r="J122">
        <v>1836</v>
      </c>
      <c r="K122">
        <v>1308</v>
      </c>
      <c r="L122">
        <v>528</v>
      </c>
      <c r="M122" s="5" t="str">
        <f>TEXT(Table2[[#This Row],[Order Date]],"mm")</f>
        <v>03</v>
      </c>
      <c r="N122">
        <f>YEAR(Table2[[#This Row],[Order Date]])</f>
        <v>2025</v>
      </c>
    </row>
    <row r="123" spans="1:14" x14ac:dyDescent="0.3">
      <c r="A123" t="s">
        <v>711</v>
      </c>
      <c r="B123" t="s">
        <v>517</v>
      </c>
      <c r="C123" t="s">
        <v>42</v>
      </c>
      <c r="D123" t="s">
        <v>23</v>
      </c>
      <c r="E123" t="s">
        <v>59</v>
      </c>
      <c r="F123" t="s">
        <v>50</v>
      </c>
      <c r="G123" t="s">
        <v>134</v>
      </c>
      <c r="H123" t="s">
        <v>44</v>
      </c>
      <c r="I123">
        <v>10</v>
      </c>
      <c r="J123">
        <v>4408.3</v>
      </c>
      <c r="K123">
        <v>3074.9</v>
      </c>
      <c r="L123">
        <v>1333.4</v>
      </c>
      <c r="M123" s="5" t="str">
        <f>TEXT(Table2[[#This Row],[Order Date]],"mm")</f>
        <v>03</v>
      </c>
      <c r="N123">
        <f>YEAR(Table2[[#This Row],[Order Date]])</f>
        <v>2025</v>
      </c>
    </row>
    <row r="124" spans="1:14" x14ac:dyDescent="0.3">
      <c r="A124" t="s">
        <v>769</v>
      </c>
      <c r="B124" t="s">
        <v>291</v>
      </c>
      <c r="C124" t="s">
        <v>263</v>
      </c>
      <c r="D124" t="s">
        <v>54</v>
      </c>
      <c r="E124" t="s">
        <v>75</v>
      </c>
      <c r="F124" t="s">
        <v>25</v>
      </c>
      <c r="G124" t="s">
        <v>26</v>
      </c>
      <c r="H124" t="s">
        <v>60</v>
      </c>
      <c r="I124">
        <v>4</v>
      </c>
      <c r="J124">
        <v>6496.48</v>
      </c>
      <c r="K124">
        <v>4671.96</v>
      </c>
      <c r="L124">
        <v>1824.52</v>
      </c>
      <c r="M124" s="5" t="str">
        <f>TEXT(Table2[[#This Row],[Order Date]],"mm")</f>
        <v>03</v>
      </c>
      <c r="N124">
        <f>YEAR(Table2[[#This Row],[Order Date]])</f>
        <v>2025</v>
      </c>
    </row>
    <row r="125" spans="1:14" x14ac:dyDescent="0.3">
      <c r="A125" t="s">
        <v>787</v>
      </c>
      <c r="B125" t="s">
        <v>586</v>
      </c>
      <c r="C125" t="s">
        <v>83</v>
      </c>
      <c r="D125" t="s">
        <v>48</v>
      </c>
      <c r="E125" t="s">
        <v>49</v>
      </c>
      <c r="F125" t="s">
        <v>17</v>
      </c>
      <c r="G125" t="s">
        <v>38</v>
      </c>
      <c r="H125" t="s">
        <v>27</v>
      </c>
      <c r="I125">
        <v>2</v>
      </c>
      <c r="J125">
        <v>3159.54</v>
      </c>
      <c r="K125">
        <v>2417.86</v>
      </c>
      <c r="L125">
        <v>741.68</v>
      </c>
      <c r="M125" s="5" t="str">
        <f>TEXT(Table2[[#This Row],[Order Date]],"mm")</f>
        <v>03</v>
      </c>
      <c r="N125">
        <f>YEAR(Table2[[#This Row],[Order Date]])</f>
        <v>2025</v>
      </c>
    </row>
    <row r="126" spans="1:14" x14ac:dyDescent="0.3">
      <c r="A126" t="s">
        <v>804</v>
      </c>
      <c r="B126" t="s">
        <v>208</v>
      </c>
      <c r="C126" t="s">
        <v>113</v>
      </c>
      <c r="D126" t="s">
        <v>48</v>
      </c>
      <c r="E126" t="s">
        <v>84</v>
      </c>
      <c r="F126" t="s">
        <v>50</v>
      </c>
      <c r="G126" t="s">
        <v>95</v>
      </c>
      <c r="H126" t="s">
        <v>33</v>
      </c>
      <c r="I126">
        <v>10</v>
      </c>
      <c r="J126">
        <v>31051.7</v>
      </c>
      <c r="K126">
        <v>19791.099999999999</v>
      </c>
      <c r="L126">
        <v>11260.6</v>
      </c>
      <c r="M126" s="5" t="str">
        <f>TEXT(Table2[[#This Row],[Order Date]],"mm")</f>
        <v>03</v>
      </c>
      <c r="N126">
        <f>YEAR(Table2[[#This Row],[Order Date]])</f>
        <v>2025</v>
      </c>
    </row>
    <row r="127" spans="1:14" x14ac:dyDescent="0.3">
      <c r="A127" t="s">
        <v>809</v>
      </c>
      <c r="B127" t="s">
        <v>810</v>
      </c>
      <c r="C127" t="s">
        <v>30</v>
      </c>
      <c r="D127" t="s">
        <v>48</v>
      </c>
      <c r="E127" t="s">
        <v>67</v>
      </c>
      <c r="F127" t="s">
        <v>17</v>
      </c>
      <c r="G127" t="s">
        <v>76</v>
      </c>
      <c r="H127" t="s">
        <v>19</v>
      </c>
      <c r="I127">
        <v>5</v>
      </c>
      <c r="J127">
        <v>10278.1</v>
      </c>
      <c r="K127">
        <v>7137</v>
      </c>
      <c r="L127">
        <v>3141.1</v>
      </c>
      <c r="M127" s="5" t="str">
        <f>TEXT(Table2[[#This Row],[Order Date]],"mm")</f>
        <v>03</v>
      </c>
      <c r="N127">
        <f>YEAR(Table2[[#This Row],[Order Date]])</f>
        <v>2025</v>
      </c>
    </row>
    <row r="128" spans="1:14" x14ac:dyDescent="0.3">
      <c r="A128" t="s">
        <v>827</v>
      </c>
      <c r="B128" t="s">
        <v>828</v>
      </c>
      <c r="C128" t="s">
        <v>42</v>
      </c>
      <c r="D128" t="s">
        <v>54</v>
      </c>
      <c r="E128" t="s">
        <v>133</v>
      </c>
      <c r="F128" t="s">
        <v>17</v>
      </c>
      <c r="G128" t="s">
        <v>116</v>
      </c>
      <c r="H128" t="s">
        <v>27</v>
      </c>
      <c r="I128">
        <v>1</v>
      </c>
      <c r="J128">
        <v>744.92</v>
      </c>
      <c r="K128">
        <v>617.41</v>
      </c>
      <c r="L128">
        <v>127.51</v>
      </c>
      <c r="M128" s="5" t="str">
        <f>TEXT(Table2[[#This Row],[Order Date]],"mm")</f>
        <v>03</v>
      </c>
      <c r="N128">
        <f>YEAR(Table2[[#This Row],[Order Date]])</f>
        <v>2025</v>
      </c>
    </row>
    <row r="129" spans="1:14" x14ac:dyDescent="0.3">
      <c r="A129" t="s">
        <v>846</v>
      </c>
      <c r="B129" t="s">
        <v>189</v>
      </c>
      <c r="C129" t="s">
        <v>79</v>
      </c>
      <c r="D129" t="s">
        <v>48</v>
      </c>
      <c r="E129" t="s">
        <v>84</v>
      </c>
      <c r="F129" t="s">
        <v>17</v>
      </c>
      <c r="G129" t="s">
        <v>116</v>
      </c>
      <c r="H129" t="s">
        <v>33</v>
      </c>
      <c r="I129">
        <v>5</v>
      </c>
      <c r="J129">
        <v>1482.45</v>
      </c>
      <c r="K129">
        <v>999.85</v>
      </c>
      <c r="L129">
        <v>482.6</v>
      </c>
      <c r="M129" s="5" t="str">
        <f>TEXT(Table2[[#This Row],[Order Date]],"mm")</f>
        <v>03</v>
      </c>
      <c r="N129">
        <f>YEAR(Table2[[#This Row],[Order Date]])</f>
        <v>2025</v>
      </c>
    </row>
    <row r="130" spans="1:14" x14ac:dyDescent="0.3">
      <c r="A130" t="s">
        <v>849</v>
      </c>
      <c r="B130" t="s">
        <v>850</v>
      </c>
      <c r="C130" t="s">
        <v>106</v>
      </c>
      <c r="D130" t="s">
        <v>15</v>
      </c>
      <c r="E130" t="s">
        <v>183</v>
      </c>
      <c r="F130" t="s">
        <v>50</v>
      </c>
      <c r="G130" t="s">
        <v>95</v>
      </c>
      <c r="H130" t="s">
        <v>19</v>
      </c>
      <c r="I130">
        <v>3</v>
      </c>
      <c r="J130">
        <v>2210.4299999999998</v>
      </c>
      <c r="K130">
        <v>1840.62</v>
      </c>
      <c r="L130">
        <v>369.81</v>
      </c>
      <c r="M130" s="5" t="str">
        <f>TEXT(Table2[[#This Row],[Order Date]],"mm")</f>
        <v>03</v>
      </c>
      <c r="N130">
        <f>YEAR(Table2[[#This Row],[Order Date]])</f>
        <v>2025</v>
      </c>
    </row>
    <row r="131" spans="1:14" x14ac:dyDescent="0.3">
      <c r="A131" t="s">
        <v>12</v>
      </c>
      <c r="B131" t="s">
        <v>13</v>
      </c>
      <c r="C131" t="s">
        <v>14</v>
      </c>
      <c r="D131" t="s">
        <v>15</v>
      </c>
      <c r="E131" t="s">
        <v>16</v>
      </c>
      <c r="F131" t="s">
        <v>17</v>
      </c>
      <c r="G131" t="s">
        <v>18</v>
      </c>
      <c r="H131" t="s">
        <v>19</v>
      </c>
      <c r="I131">
        <v>4</v>
      </c>
      <c r="J131">
        <v>5903.16</v>
      </c>
      <c r="K131">
        <v>3981.2</v>
      </c>
      <c r="L131">
        <v>1921.96</v>
      </c>
      <c r="M131" s="5" t="str">
        <f>TEXT(Table2[[#This Row],[Order Date]],"mm")</f>
        <v>04</v>
      </c>
      <c r="N131">
        <f>YEAR(Table2[[#This Row],[Order Date]])</f>
        <v>2025</v>
      </c>
    </row>
    <row r="132" spans="1:14" x14ac:dyDescent="0.3">
      <c r="A132" t="s">
        <v>86</v>
      </c>
      <c r="B132" t="s">
        <v>87</v>
      </c>
      <c r="C132" t="s">
        <v>47</v>
      </c>
      <c r="D132" t="s">
        <v>54</v>
      </c>
      <c r="E132" t="s">
        <v>55</v>
      </c>
      <c r="F132" t="s">
        <v>50</v>
      </c>
      <c r="G132" t="s">
        <v>51</v>
      </c>
      <c r="H132" t="s">
        <v>39</v>
      </c>
      <c r="I132">
        <v>7</v>
      </c>
      <c r="J132">
        <v>4677.82</v>
      </c>
      <c r="K132">
        <v>3253.88</v>
      </c>
      <c r="L132">
        <v>1423.94</v>
      </c>
      <c r="M132" s="5" t="str">
        <f>TEXT(Table2[[#This Row],[Order Date]],"mm")</f>
        <v>04</v>
      </c>
      <c r="N132">
        <f>YEAR(Table2[[#This Row],[Order Date]])</f>
        <v>2025</v>
      </c>
    </row>
    <row r="133" spans="1:14" x14ac:dyDescent="0.3">
      <c r="A133" t="s">
        <v>88</v>
      </c>
      <c r="B133" t="s">
        <v>87</v>
      </c>
      <c r="C133" t="s">
        <v>30</v>
      </c>
      <c r="D133" t="s">
        <v>15</v>
      </c>
      <c r="E133" t="s">
        <v>89</v>
      </c>
      <c r="F133" t="s">
        <v>50</v>
      </c>
      <c r="G133" t="s">
        <v>80</v>
      </c>
      <c r="H133" t="s">
        <v>60</v>
      </c>
      <c r="I133">
        <v>3</v>
      </c>
      <c r="J133">
        <v>3165.09</v>
      </c>
      <c r="K133">
        <v>2357.37</v>
      </c>
      <c r="L133">
        <v>807.72</v>
      </c>
      <c r="M133" s="5" t="str">
        <f>TEXT(Table2[[#This Row],[Order Date]],"mm")</f>
        <v>04</v>
      </c>
      <c r="N133">
        <f>YEAR(Table2[[#This Row],[Order Date]])</f>
        <v>2025</v>
      </c>
    </row>
    <row r="134" spans="1:14" x14ac:dyDescent="0.3">
      <c r="A134" t="s">
        <v>101</v>
      </c>
      <c r="B134" t="s">
        <v>102</v>
      </c>
      <c r="C134" t="s">
        <v>103</v>
      </c>
      <c r="D134" t="s">
        <v>54</v>
      </c>
      <c r="E134" t="s">
        <v>75</v>
      </c>
      <c r="F134" t="s">
        <v>17</v>
      </c>
      <c r="G134" t="s">
        <v>76</v>
      </c>
      <c r="H134" t="s">
        <v>19</v>
      </c>
      <c r="I134">
        <v>3</v>
      </c>
      <c r="J134">
        <v>6464.61</v>
      </c>
      <c r="K134">
        <v>4587.72</v>
      </c>
      <c r="L134">
        <v>1876.89</v>
      </c>
      <c r="M134" s="5" t="str">
        <f>TEXT(Table2[[#This Row],[Order Date]],"mm")</f>
        <v>04</v>
      </c>
      <c r="N134">
        <f>YEAR(Table2[[#This Row],[Order Date]])</f>
        <v>2025</v>
      </c>
    </row>
    <row r="135" spans="1:14" x14ac:dyDescent="0.3">
      <c r="A135" t="s">
        <v>153</v>
      </c>
      <c r="B135" t="s">
        <v>154</v>
      </c>
      <c r="C135" t="s">
        <v>83</v>
      </c>
      <c r="D135" t="s">
        <v>23</v>
      </c>
      <c r="E135" t="s">
        <v>59</v>
      </c>
      <c r="F135" t="s">
        <v>17</v>
      </c>
      <c r="G135" t="s">
        <v>116</v>
      </c>
      <c r="H135" t="s">
        <v>19</v>
      </c>
      <c r="I135">
        <v>1</v>
      </c>
      <c r="J135">
        <v>1128.3699999999999</v>
      </c>
      <c r="K135">
        <v>822.29</v>
      </c>
      <c r="L135">
        <v>306.08</v>
      </c>
      <c r="M135" s="5" t="str">
        <f>TEXT(Table2[[#This Row],[Order Date]],"mm")</f>
        <v>04</v>
      </c>
      <c r="N135">
        <f>YEAR(Table2[[#This Row],[Order Date]])</f>
        <v>2025</v>
      </c>
    </row>
    <row r="136" spans="1:14" x14ac:dyDescent="0.3">
      <c r="A136" t="s">
        <v>164</v>
      </c>
      <c r="B136" t="s">
        <v>87</v>
      </c>
      <c r="C136" t="s">
        <v>47</v>
      </c>
      <c r="D136" t="s">
        <v>48</v>
      </c>
      <c r="E136" t="s">
        <v>84</v>
      </c>
      <c r="F136" t="s">
        <v>50</v>
      </c>
      <c r="G136" t="s">
        <v>134</v>
      </c>
      <c r="H136" t="s">
        <v>85</v>
      </c>
      <c r="I136">
        <v>7</v>
      </c>
      <c r="J136">
        <v>7781.41</v>
      </c>
      <c r="K136">
        <v>5488.56</v>
      </c>
      <c r="L136">
        <v>2292.85</v>
      </c>
      <c r="M136" s="5" t="str">
        <f>TEXT(Table2[[#This Row],[Order Date]],"mm")</f>
        <v>04</v>
      </c>
      <c r="N136">
        <f>YEAR(Table2[[#This Row],[Order Date]])</f>
        <v>2025</v>
      </c>
    </row>
    <row r="137" spans="1:14" x14ac:dyDescent="0.3">
      <c r="A137" t="s">
        <v>176</v>
      </c>
      <c r="B137" t="s">
        <v>177</v>
      </c>
      <c r="C137" t="s">
        <v>143</v>
      </c>
      <c r="D137" t="s">
        <v>54</v>
      </c>
      <c r="E137" t="s">
        <v>98</v>
      </c>
      <c r="F137" t="s">
        <v>50</v>
      </c>
      <c r="G137" t="s">
        <v>95</v>
      </c>
      <c r="H137" t="s">
        <v>85</v>
      </c>
      <c r="I137">
        <v>3</v>
      </c>
      <c r="J137">
        <v>3591.75</v>
      </c>
      <c r="K137">
        <v>2293.59</v>
      </c>
      <c r="L137">
        <v>1298.1600000000001</v>
      </c>
      <c r="M137" s="5" t="str">
        <f>TEXT(Table2[[#This Row],[Order Date]],"mm")</f>
        <v>04</v>
      </c>
      <c r="N137">
        <f>YEAR(Table2[[#This Row],[Order Date]])</f>
        <v>2025</v>
      </c>
    </row>
    <row r="138" spans="1:14" x14ac:dyDescent="0.3">
      <c r="A138" t="s">
        <v>181</v>
      </c>
      <c r="B138" t="s">
        <v>182</v>
      </c>
      <c r="C138" t="s">
        <v>132</v>
      </c>
      <c r="D138" t="s">
        <v>15</v>
      </c>
      <c r="E138" t="s">
        <v>183</v>
      </c>
      <c r="F138" t="s">
        <v>50</v>
      </c>
      <c r="G138" t="s">
        <v>110</v>
      </c>
      <c r="H138" t="s">
        <v>19</v>
      </c>
      <c r="I138">
        <v>4</v>
      </c>
      <c r="J138">
        <v>10112.56</v>
      </c>
      <c r="K138">
        <v>6481.56</v>
      </c>
      <c r="L138">
        <v>3631</v>
      </c>
      <c r="M138" s="5" t="str">
        <f>TEXT(Table2[[#This Row],[Order Date]],"mm")</f>
        <v>04</v>
      </c>
      <c r="N138">
        <f>YEAR(Table2[[#This Row],[Order Date]])</f>
        <v>2025</v>
      </c>
    </row>
    <row r="139" spans="1:14" x14ac:dyDescent="0.3">
      <c r="A139" t="s">
        <v>236</v>
      </c>
      <c r="B139" t="s">
        <v>237</v>
      </c>
      <c r="C139" t="s">
        <v>47</v>
      </c>
      <c r="D139" t="s">
        <v>15</v>
      </c>
      <c r="E139" t="s">
        <v>183</v>
      </c>
      <c r="F139" t="s">
        <v>25</v>
      </c>
      <c r="G139" t="s">
        <v>26</v>
      </c>
      <c r="H139" t="s">
        <v>19</v>
      </c>
      <c r="I139">
        <v>8</v>
      </c>
      <c r="J139">
        <v>3389.2</v>
      </c>
      <c r="K139">
        <v>2202.8000000000002</v>
      </c>
      <c r="L139">
        <v>1186.4000000000001</v>
      </c>
      <c r="M139" s="5" t="str">
        <f>TEXT(Table2[[#This Row],[Order Date]],"mm")</f>
        <v>04</v>
      </c>
      <c r="N139">
        <f>YEAR(Table2[[#This Row],[Order Date]])</f>
        <v>2025</v>
      </c>
    </row>
    <row r="140" spans="1:14" x14ac:dyDescent="0.3">
      <c r="A140" t="s">
        <v>287</v>
      </c>
      <c r="B140" t="s">
        <v>288</v>
      </c>
      <c r="C140" t="s">
        <v>36</v>
      </c>
      <c r="D140" t="s">
        <v>48</v>
      </c>
      <c r="E140" t="s">
        <v>49</v>
      </c>
      <c r="F140" t="s">
        <v>50</v>
      </c>
      <c r="G140" t="s">
        <v>134</v>
      </c>
      <c r="H140" t="s">
        <v>85</v>
      </c>
      <c r="I140">
        <v>1</v>
      </c>
      <c r="J140">
        <v>1487.43</v>
      </c>
      <c r="K140">
        <v>1274.0999999999999</v>
      </c>
      <c r="L140">
        <v>213.33</v>
      </c>
      <c r="M140" s="5" t="str">
        <f>TEXT(Table2[[#This Row],[Order Date]],"mm")</f>
        <v>04</v>
      </c>
      <c r="N140">
        <f>YEAR(Table2[[#This Row],[Order Date]])</f>
        <v>2025</v>
      </c>
    </row>
    <row r="141" spans="1:14" x14ac:dyDescent="0.3">
      <c r="A141" t="s">
        <v>360</v>
      </c>
      <c r="B141" t="s">
        <v>154</v>
      </c>
      <c r="C141" t="s">
        <v>132</v>
      </c>
      <c r="D141" t="s">
        <v>54</v>
      </c>
      <c r="E141" t="s">
        <v>133</v>
      </c>
      <c r="F141" t="s">
        <v>50</v>
      </c>
      <c r="G141" t="s">
        <v>51</v>
      </c>
      <c r="H141" t="s">
        <v>44</v>
      </c>
      <c r="I141">
        <v>7</v>
      </c>
      <c r="J141">
        <v>11242.49</v>
      </c>
      <c r="K141">
        <v>9584.61</v>
      </c>
      <c r="L141">
        <v>1657.88</v>
      </c>
      <c r="M141" s="5" t="str">
        <f>TEXT(Table2[[#This Row],[Order Date]],"mm")</f>
        <v>04</v>
      </c>
      <c r="N141">
        <f>YEAR(Table2[[#This Row],[Order Date]])</f>
        <v>2025</v>
      </c>
    </row>
    <row r="142" spans="1:14" x14ac:dyDescent="0.3">
      <c r="A142" t="s">
        <v>372</v>
      </c>
      <c r="B142" t="s">
        <v>177</v>
      </c>
      <c r="C142" t="s">
        <v>74</v>
      </c>
      <c r="D142" t="s">
        <v>23</v>
      </c>
      <c r="E142" t="s">
        <v>24</v>
      </c>
      <c r="F142" t="s">
        <v>50</v>
      </c>
      <c r="G142" t="s">
        <v>110</v>
      </c>
      <c r="H142" t="s">
        <v>60</v>
      </c>
      <c r="I142">
        <v>7</v>
      </c>
      <c r="J142">
        <v>16200.45</v>
      </c>
      <c r="K142">
        <v>11039.28</v>
      </c>
      <c r="L142">
        <v>5161.17</v>
      </c>
      <c r="M142" s="5" t="str">
        <f>TEXT(Table2[[#This Row],[Order Date]],"mm")</f>
        <v>04</v>
      </c>
      <c r="N142">
        <f>YEAR(Table2[[#This Row],[Order Date]])</f>
        <v>2025</v>
      </c>
    </row>
    <row r="143" spans="1:14" x14ac:dyDescent="0.3">
      <c r="A143" t="s">
        <v>386</v>
      </c>
      <c r="B143" t="s">
        <v>177</v>
      </c>
      <c r="C143" t="s">
        <v>83</v>
      </c>
      <c r="D143" t="s">
        <v>48</v>
      </c>
      <c r="E143" t="s">
        <v>107</v>
      </c>
      <c r="F143" t="s">
        <v>50</v>
      </c>
      <c r="G143" t="s">
        <v>110</v>
      </c>
      <c r="H143" t="s">
        <v>44</v>
      </c>
      <c r="I143">
        <v>5</v>
      </c>
      <c r="J143">
        <v>7298</v>
      </c>
      <c r="K143">
        <v>5001.6000000000004</v>
      </c>
      <c r="L143">
        <v>2296.4</v>
      </c>
      <c r="M143" s="5" t="str">
        <f>TEXT(Table2[[#This Row],[Order Date]],"mm")</f>
        <v>04</v>
      </c>
      <c r="N143">
        <f>YEAR(Table2[[#This Row],[Order Date]])</f>
        <v>2025</v>
      </c>
    </row>
    <row r="144" spans="1:14" x14ac:dyDescent="0.3">
      <c r="A144" t="s">
        <v>414</v>
      </c>
      <c r="B144" t="s">
        <v>415</v>
      </c>
      <c r="C144" t="s">
        <v>79</v>
      </c>
      <c r="D144" t="s">
        <v>54</v>
      </c>
      <c r="E144" t="s">
        <v>98</v>
      </c>
      <c r="F144" t="s">
        <v>50</v>
      </c>
      <c r="G144" t="s">
        <v>95</v>
      </c>
      <c r="H144" t="s">
        <v>39</v>
      </c>
      <c r="I144">
        <v>10</v>
      </c>
      <c r="J144">
        <v>3718.5</v>
      </c>
      <c r="K144">
        <v>2413</v>
      </c>
      <c r="L144">
        <v>1305.5</v>
      </c>
      <c r="M144" s="5" t="str">
        <f>TEXT(Table2[[#This Row],[Order Date]],"mm")</f>
        <v>04</v>
      </c>
      <c r="N144">
        <f>YEAR(Table2[[#This Row],[Order Date]])</f>
        <v>2025</v>
      </c>
    </row>
    <row r="145" spans="1:14" x14ac:dyDescent="0.3">
      <c r="A145" t="s">
        <v>432</v>
      </c>
      <c r="B145" t="s">
        <v>237</v>
      </c>
      <c r="C145" t="s">
        <v>143</v>
      </c>
      <c r="D145" t="s">
        <v>54</v>
      </c>
      <c r="E145" t="s">
        <v>55</v>
      </c>
      <c r="F145" t="s">
        <v>25</v>
      </c>
      <c r="G145" t="s">
        <v>32</v>
      </c>
      <c r="H145" t="s">
        <v>60</v>
      </c>
      <c r="I145">
        <v>5</v>
      </c>
      <c r="J145">
        <v>5439.6</v>
      </c>
      <c r="K145">
        <v>4154.6499999999996</v>
      </c>
      <c r="L145">
        <v>1284.95</v>
      </c>
      <c r="M145" s="5" t="str">
        <f>TEXT(Table2[[#This Row],[Order Date]],"mm")</f>
        <v>04</v>
      </c>
      <c r="N145">
        <f>YEAR(Table2[[#This Row],[Order Date]])</f>
        <v>2025</v>
      </c>
    </row>
    <row r="146" spans="1:14" x14ac:dyDescent="0.3">
      <c r="A146" t="s">
        <v>451</v>
      </c>
      <c r="B146" t="s">
        <v>288</v>
      </c>
      <c r="C146" t="s">
        <v>206</v>
      </c>
      <c r="D146" t="s">
        <v>54</v>
      </c>
      <c r="E146" t="s">
        <v>98</v>
      </c>
      <c r="F146" t="s">
        <v>25</v>
      </c>
      <c r="G146" t="s">
        <v>158</v>
      </c>
      <c r="H146" t="s">
        <v>60</v>
      </c>
      <c r="I146">
        <v>9</v>
      </c>
      <c r="J146">
        <v>12751.02</v>
      </c>
      <c r="K146">
        <v>9729.9</v>
      </c>
      <c r="L146">
        <v>3021.12</v>
      </c>
      <c r="M146" s="5" t="str">
        <f>TEXT(Table2[[#This Row],[Order Date]],"mm")</f>
        <v>04</v>
      </c>
      <c r="N146">
        <f>YEAR(Table2[[#This Row],[Order Date]])</f>
        <v>2025</v>
      </c>
    </row>
    <row r="147" spans="1:14" x14ac:dyDescent="0.3">
      <c r="A147" t="s">
        <v>469</v>
      </c>
      <c r="B147" t="s">
        <v>470</v>
      </c>
      <c r="C147" t="s">
        <v>263</v>
      </c>
      <c r="D147" t="s">
        <v>54</v>
      </c>
      <c r="E147" t="s">
        <v>133</v>
      </c>
      <c r="F147" t="s">
        <v>17</v>
      </c>
      <c r="G147" t="s">
        <v>18</v>
      </c>
      <c r="H147" t="s">
        <v>85</v>
      </c>
      <c r="I147">
        <v>10</v>
      </c>
      <c r="J147">
        <v>20818.5</v>
      </c>
      <c r="K147">
        <v>15926.1</v>
      </c>
      <c r="L147">
        <v>4892.3999999999996</v>
      </c>
      <c r="M147" s="5" t="str">
        <f>TEXT(Table2[[#This Row],[Order Date]],"mm")</f>
        <v>04</v>
      </c>
      <c r="N147">
        <f>YEAR(Table2[[#This Row],[Order Date]])</f>
        <v>2025</v>
      </c>
    </row>
    <row r="148" spans="1:14" x14ac:dyDescent="0.3">
      <c r="A148" t="s">
        <v>493</v>
      </c>
      <c r="B148" t="s">
        <v>494</v>
      </c>
      <c r="C148" t="s">
        <v>106</v>
      </c>
      <c r="D148" t="s">
        <v>48</v>
      </c>
      <c r="E148" t="s">
        <v>84</v>
      </c>
      <c r="F148" t="s">
        <v>25</v>
      </c>
      <c r="G148" t="s">
        <v>158</v>
      </c>
      <c r="H148" t="s">
        <v>44</v>
      </c>
      <c r="I148">
        <v>4</v>
      </c>
      <c r="J148">
        <v>3630.92</v>
      </c>
      <c r="K148">
        <v>2709.88</v>
      </c>
      <c r="L148">
        <v>921.04</v>
      </c>
      <c r="M148" s="5" t="str">
        <f>TEXT(Table2[[#This Row],[Order Date]],"mm")</f>
        <v>04</v>
      </c>
      <c r="N148">
        <f>YEAR(Table2[[#This Row],[Order Date]])</f>
        <v>2025</v>
      </c>
    </row>
    <row r="149" spans="1:14" x14ac:dyDescent="0.3">
      <c r="A149" t="s">
        <v>504</v>
      </c>
      <c r="B149" t="s">
        <v>505</v>
      </c>
      <c r="C149" t="s">
        <v>206</v>
      </c>
      <c r="D149" t="s">
        <v>48</v>
      </c>
      <c r="E149" t="s">
        <v>107</v>
      </c>
      <c r="F149" t="s">
        <v>50</v>
      </c>
      <c r="G149" t="s">
        <v>110</v>
      </c>
      <c r="H149" t="s">
        <v>44</v>
      </c>
      <c r="I149">
        <v>9</v>
      </c>
      <c r="J149">
        <v>3571.47</v>
      </c>
      <c r="K149">
        <v>2808.36</v>
      </c>
      <c r="L149">
        <v>763.11</v>
      </c>
      <c r="M149" s="5" t="str">
        <f>TEXT(Table2[[#This Row],[Order Date]],"mm")</f>
        <v>04</v>
      </c>
      <c r="N149">
        <f>YEAR(Table2[[#This Row],[Order Date]])</f>
        <v>2025</v>
      </c>
    </row>
    <row r="150" spans="1:14" x14ac:dyDescent="0.3">
      <c r="A150" t="s">
        <v>518</v>
      </c>
      <c r="B150" t="s">
        <v>519</v>
      </c>
      <c r="C150" t="s">
        <v>113</v>
      </c>
      <c r="D150" t="s">
        <v>23</v>
      </c>
      <c r="E150" t="s">
        <v>24</v>
      </c>
      <c r="F150" t="s">
        <v>17</v>
      </c>
      <c r="G150" t="s">
        <v>38</v>
      </c>
      <c r="H150" t="s">
        <v>64</v>
      </c>
      <c r="I150">
        <v>2</v>
      </c>
      <c r="J150">
        <v>2348.6</v>
      </c>
      <c r="K150">
        <v>1797.04</v>
      </c>
      <c r="L150">
        <v>551.55999999999995</v>
      </c>
      <c r="M150" s="5" t="str">
        <f>TEXT(Table2[[#This Row],[Order Date]],"mm")</f>
        <v>04</v>
      </c>
      <c r="N150">
        <f>YEAR(Table2[[#This Row],[Order Date]])</f>
        <v>2025</v>
      </c>
    </row>
    <row r="151" spans="1:14" x14ac:dyDescent="0.3">
      <c r="A151" t="s">
        <v>553</v>
      </c>
      <c r="B151" t="s">
        <v>554</v>
      </c>
      <c r="C151" t="s">
        <v>74</v>
      </c>
      <c r="D151" t="s">
        <v>48</v>
      </c>
      <c r="E151" t="s">
        <v>49</v>
      </c>
      <c r="F151" t="s">
        <v>17</v>
      </c>
      <c r="G151" t="s">
        <v>76</v>
      </c>
      <c r="H151" t="s">
        <v>33</v>
      </c>
      <c r="I151">
        <v>7</v>
      </c>
      <c r="J151">
        <v>9615.83</v>
      </c>
      <c r="K151">
        <v>6056.19</v>
      </c>
      <c r="L151">
        <v>3559.64</v>
      </c>
      <c r="M151" s="5" t="str">
        <f>TEXT(Table2[[#This Row],[Order Date]],"mm")</f>
        <v>04</v>
      </c>
      <c r="N151">
        <f>YEAR(Table2[[#This Row],[Order Date]])</f>
        <v>2025</v>
      </c>
    </row>
    <row r="152" spans="1:14" x14ac:dyDescent="0.3">
      <c r="A152" t="s">
        <v>577</v>
      </c>
      <c r="B152" t="s">
        <v>494</v>
      </c>
      <c r="C152" t="s">
        <v>30</v>
      </c>
      <c r="D152" t="s">
        <v>23</v>
      </c>
      <c r="E152" t="s">
        <v>59</v>
      </c>
      <c r="F152" t="s">
        <v>50</v>
      </c>
      <c r="G152" t="s">
        <v>80</v>
      </c>
      <c r="H152" t="s">
        <v>44</v>
      </c>
      <c r="I152">
        <v>9</v>
      </c>
      <c r="J152">
        <v>28345.14</v>
      </c>
      <c r="K152">
        <v>17943.66</v>
      </c>
      <c r="L152">
        <v>10401.48</v>
      </c>
      <c r="M152" s="5" t="str">
        <f>TEXT(Table2[[#This Row],[Order Date]],"mm")</f>
        <v>04</v>
      </c>
      <c r="N152">
        <f>YEAR(Table2[[#This Row],[Order Date]])</f>
        <v>2025</v>
      </c>
    </row>
    <row r="153" spans="1:14" x14ac:dyDescent="0.3">
      <c r="A153" t="s">
        <v>588</v>
      </c>
      <c r="B153" t="s">
        <v>589</v>
      </c>
      <c r="C153" t="s">
        <v>132</v>
      </c>
      <c r="D153" t="s">
        <v>54</v>
      </c>
      <c r="E153" t="s">
        <v>98</v>
      </c>
      <c r="F153" t="s">
        <v>25</v>
      </c>
      <c r="G153" t="s">
        <v>56</v>
      </c>
      <c r="H153" t="s">
        <v>19</v>
      </c>
      <c r="I153">
        <v>6</v>
      </c>
      <c r="J153">
        <v>7648.62</v>
      </c>
      <c r="K153">
        <v>4980.3599999999997</v>
      </c>
      <c r="L153">
        <v>2668.26</v>
      </c>
      <c r="M153" s="5" t="str">
        <f>TEXT(Table2[[#This Row],[Order Date]],"mm")</f>
        <v>04</v>
      </c>
      <c r="N153">
        <f>YEAR(Table2[[#This Row],[Order Date]])</f>
        <v>2025</v>
      </c>
    </row>
    <row r="154" spans="1:14" x14ac:dyDescent="0.3">
      <c r="A154" t="s">
        <v>620</v>
      </c>
      <c r="B154" t="s">
        <v>621</v>
      </c>
      <c r="C154" t="s">
        <v>47</v>
      </c>
      <c r="D154" t="s">
        <v>54</v>
      </c>
      <c r="E154" t="s">
        <v>133</v>
      </c>
      <c r="F154" t="s">
        <v>25</v>
      </c>
      <c r="G154" t="s">
        <v>32</v>
      </c>
      <c r="H154" t="s">
        <v>64</v>
      </c>
      <c r="I154">
        <v>5</v>
      </c>
      <c r="J154">
        <v>14046.9</v>
      </c>
      <c r="K154">
        <v>8836.1</v>
      </c>
      <c r="L154">
        <v>5210.8</v>
      </c>
      <c r="M154" s="5" t="str">
        <f>TEXT(Table2[[#This Row],[Order Date]],"mm")</f>
        <v>04</v>
      </c>
      <c r="N154">
        <f>YEAR(Table2[[#This Row],[Order Date]])</f>
        <v>2025</v>
      </c>
    </row>
    <row r="155" spans="1:14" x14ac:dyDescent="0.3">
      <c r="A155" t="s">
        <v>645</v>
      </c>
      <c r="B155" t="s">
        <v>554</v>
      </c>
      <c r="C155" t="s">
        <v>335</v>
      </c>
      <c r="D155" t="s">
        <v>54</v>
      </c>
      <c r="E155" t="s">
        <v>98</v>
      </c>
      <c r="F155" t="s">
        <v>50</v>
      </c>
      <c r="G155" t="s">
        <v>134</v>
      </c>
      <c r="H155" t="s">
        <v>64</v>
      </c>
      <c r="I155">
        <v>9</v>
      </c>
      <c r="J155">
        <v>21514.95</v>
      </c>
      <c r="K155">
        <v>14578.83</v>
      </c>
      <c r="L155">
        <v>6936.12</v>
      </c>
      <c r="M155" s="5" t="str">
        <f>TEXT(Table2[[#This Row],[Order Date]],"mm")</f>
        <v>04</v>
      </c>
      <c r="N155">
        <f>YEAR(Table2[[#This Row],[Order Date]])</f>
        <v>2025</v>
      </c>
    </row>
    <row r="156" spans="1:14" x14ac:dyDescent="0.3">
      <c r="A156" t="s">
        <v>687</v>
      </c>
      <c r="B156" t="s">
        <v>182</v>
      </c>
      <c r="C156" t="s">
        <v>22</v>
      </c>
      <c r="D156" t="s">
        <v>48</v>
      </c>
      <c r="E156" t="s">
        <v>67</v>
      </c>
      <c r="F156" t="s">
        <v>17</v>
      </c>
      <c r="G156" t="s">
        <v>116</v>
      </c>
      <c r="H156" t="s">
        <v>60</v>
      </c>
      <c r="I156">
        <v>1</v>
      </c>
      <c r="J156">
        <v>1065.19</v>
      </c>
      <c r="K156">
        <v>807.97</v>
      </c>
      <c r="L156">
        <v>257.22000000000003</v>
      </c>
      <c r="M156" s="5" t="str">
        <f>TEXT(Table2[[#This Row],[Order Date]],"mm")</f>
        <v>04</v>
      </c>
      <c r="N156">
        <f>YEAR(Table2[[#This Row],[Order Date]])</f>
        <v>2025</v>
      </c>
    </row>
    <row r="157" spans="1:14" x14ac:dyDescent="0.3">
      <c r="A157" t="s">
        <v>717</v>
      </c>
      <c r="B157" t="s">
        <v>718</v>
      </c>
      <c r="C157" t="s">
        <v>70</v>
      </c>
      <c r="D157" t="s">
        <v>23</v>
      </c>
      <c r="E157" t="s">
        <v>24</v>
      </c>
      <c r="F157" t="s">
        <v>25</v>
      </c>
      <c r="G157" t="s">
        <v>56</v>
      </c>
      <c r="H157" t="s">
        <v>64</v>
      </c>
      <c r="I157">
        <v>9</v>
      </c>
      <c r="J157">
        <v>1730.07</v>
      </c>
      <c r="K157">
        <v>1127.8800000000001</v>
      </c>
      <c r="L157">
        <v>602.19000000000005</v>
      </c>
      <c r="M157" s="5" t="str">
        <f>TEXT(Table2[[#This Row],[Order Date]],"mm")</f>
        <v>04</v>
      </c>
      <c r="N157">
        <f>YEAR(Table2[[#This Row],[Order Date]])</f>
        <v>2025</v>
      </c>
    </row>
    <row r="158" spans="1:14" x14ac:dyDescent="0.3">
      <c r="A158" t="s">
        <v>799</v>
      </c>
      <c r="B158" t="s">
        <v>800</v>
      </c>
      <c r="C158" t="s">
        <v>94</v>
      </c>
      <c r="D158" t="s">
        <v>23</v>
      </c>
      <c r="E158" t="s">
        <v>37</v>
      </c>
      <c r="F158" t="s">
        <v>50</v>
      </c>
      <c r="G158" t="s">
        <v>110</v>
      </c>
      <c r="H158" t="s">
        <v>44</v>
      </c>
      <c r="I158">
        <v>3</v>
      </c>
      <c r="J158">
        <v>2331.69</v>
      </c>
      <c r="K158">
        <v>1458.9</v>
      </c>
      <c r="L158">
        <v>872.79</v>
      </c>
      <c r="M158" s="5" t="str">
        <f>TEXT(Table2[[#This Row],[Order Date]],"mm")</f>
        <v>04</v>
      </c>
      <c r="N158">
        <f>YEAR(Table2[[#This Row],[Order Date]])</f>
        <v>2025</v>
      </c>
    </row>
    <row r="159" spans="1:14" x14ac:dyDescent="0.3">
      <c r="A159" t="s">
        <v>806</v>
      </c>
      <c r="B159" t="s">
        <v>807</v>
      </c>
      <c r="C159" t="s">
        <v>335</v>
      </c>
      <c r="D159" t="s">
        <v>23</v>
      </c>
      <c r="E159" t="s">
        <v>24</v>
      </c>
      <c r="F159" t="s">
        <v>50</v>
      </c>
      <c r="G159" t="s">
        <v>80</v>
      </c>
      <c r="H159" t="s">
        <v>27</v>
      </c>
      <c r="I159">
        <v>9</v>
      </c>
      <c r="J159">
        <v>22571.19</v>
      </c>
      <c r="K159">
        <v>15052.23</v>
      </c>
      <c r="L159">
        <v>7518.96</v>
      </c>
      <c r="M159" s="5" t="str">
        <f>TEXT(Table2[[#This Row],[Order Date]],"mm")</f>
        <v>04</v>
      </c>
      <c r="N159">
        <f>YEAR(Table2[[#This Row],[Order Date]])</f>
        <v>2025</v>
      </c>
    </row>
    <row r="160" spans="1:14" x14ac:dyDescent="0.3">
      <c r="A160" t="s">
        <v>816</v>
      </c>
      <c r="B160" t="s">
        <v>817</v>
      </c>
      <c r="C160" t="s">
        <v>94</v>
      </c>
      <c r="D160" t="s">
        <v>54</v>
      </c>
      <c r="E160" t="s">
        <v>75</v>
      </c>
      <c r="F160" t="s">
        <v>25</v>
      </c>
      <c r="G160" t="s">
        <v>26</v>
      </c>
      <c r="H160" t="s">
        <v>44</v>
      </c>
      <c r="I160">
        <v>9</v>
      </c>
      <c r="J160">
        <v>4223.34</v>
      </c>
      <c r="K160">
        <v>2694.06</v>
      </c>
      <c r="L160">
        <v>1529.28</v>
      </c>
      <c r="M160" s="5" t="str">
        <f>TEXT(Table2[[#This Row],[Order Date]],"mm")</f>
        <v>04</v>
      </c>
      <c r="N160">
        <f>YEAR(Table2[[#This Row],[Order Date]])</f>
        <v>2025</v>
      </c>
    </row>
    <row r="161" spans="1:14" x14ac:dyDescent="0.3">
      <c r="A161" t="s">
        <v>825</v>
      </c>
      <c r="B161" t="s">
        <v>817</v>
      </c>
      <c r="C161" t="s">
        <v>106</v>
      </c>
      <c r="D161" t="s">
        <v>15</v>
      </c>
      <c r="E161" t="s">
        <v>89</v>
      </c>
      <c r="F161" t="s">
        <v>17</v>
      </c>
      <c r="G161" t="s">
        <v>38</v>
      </c>
      <c r="H161" t="s">
        <v>39</v>
      </c>
      <c r="I161">
        <v>9</v>
      </c>
      <c r="J161">
        <v>3422.52</v>
      </c>
      <c r="K161">
        <v>2730.51</v>
      </c>
      <c r="L161">
        <v>692.01</v>
      </c>
      <c r="M161" s="5" t="str">
        <f>TEXT(Table2[[#This Row],[Order Date]],"mm")</f>
        <v>04</v>
      </c>
      <c r="N161">
        <f>YEAR(Table2[[#This Row],[Order Date]])</f>
        <v>2025</v>
      </c>
    </row>
    <row r="162" spans="1:14" x14ac:dyDescent="0.3">
      <c r="A162" t="s">
        <v>843</v>
      </c>
      <c r="B162" t="s">
        <v>505</v>
      </c>
      <c r="C162" t="s">
        <v>106</v>
      </c>
      <c r="D162" t="s">
        <v>23</v>
      </c>
      <c r="E162" t="s">
        <v>43</v>
      </c>
      <c r="F162" t="s">
        <v>50</v>
      </c>
      <c r="G162" t="s">
        <v>134</v>
      </c>
      <c r="H162" t="s">
        <v>33</v>
      </c>
      <c r="I162">
        <v>8</v>
      </c>
      <c r="J162">
        <v>8178</v>
      </c>
      <c r="K162">
        <v>6415.44</v>
      </c>
      <c r="L162">
        <v>1762.56</v>
      </c>
      <c r="M162" s="5" t="str">
        <f>TEXT(Table2[[#This Row],[Order Date]],"mm")</f>
        <v>04</v>
      </c>
      <c r="N162">
        <f>YEAR(Table2[[#This Row],[Order Date]])</f>
        <v>2025</v>
      </c>
    </row>
    <row r="163" spans="1:14" x14ac:dyDescent="0.3">
      <c r="A163" t="s">
        <v>90</v>
      </c>
      <c r="B163" t="s">
        <v>91</v>
      </c>
      <c r="C163" t="s">
        <v>74</v>
      </c>
      <c r="D163" t="s">
        <v>48</v>
      </c>
      <c r="E163" t="s">
        <v>84</v>
      </c>
      <c r="F163" t="s">
        <v>50</v>
      </c>
      <c r="G163" t="s">
        <v>51</v>
      </c>
      <c r="H163" t="s">
        <v>44</v>
      </c>
      <c r="I163">
        <v>4</v>
      </c>
      <c r="J163">
        <v>4937.24</v>
      </c>
      <c r="K163">
        <v>3411.76</v>
      </c>
      <c r="L163">
        <v>1525.48</v>
      </c>
      <c r="M163" s="5" t="str">
        <f>TEXT(Table2[[#This Row],[Order Date]],"mm")</f>
        <v>05</v>
      </c>
      <c r="N163">
        <f>YEAR(Table2[[#This Row],[Order Date]])</f>
        <v>2025</v>
      </c>
    </row>
    <row r="164" spans="1:14" x14ac:dyDescent="0.3">
      <c r="A164" t="s">
        <v>99</v>
      </c>
      <c r="B164" t="s">
        <v>100</v>
      </c>
      <c r="C164" t="s">
        <v>83</v>
      </c>
      <c r="D164" t="s">
        <v>54</v>
      </c>
      <c r="E164" t="s">
        <v>98</v>
      </c>
      <c r="F164" t="s">
        <v>50</v>
      </c>
      <c r="G164" t="s">
        <v>51</v>
      </c>
      <c r="H164" t="s">
        <v>33</v>
      </c>
      <c r="I164">
        <v>2</v>
      </c>
      <c r="J164">
        <v>4203.38</v>
      </c>
      <c r="K164">
        <v>3287.72</v>
      </c>
      <c r="L164">
        <v>915.66</v>
      </c>
      <c r="M164" s="5" t="str">
        <f>TEXT(Table2[[#This Row],[Order Date]],"mm")</f>
        <v>05</v>
      </c>
      <c r="N164">
        <f>YEAR(Table2[[#This Row],[Order Date]])</f>
        <v>2025</v>
      </c>
    </row>
    <row r="165" spans="1:14" x14ac:dyDescent="0.3">
      <c r="A165" t="s">
        <v>126</v>
      </c>
      <c r="B165" t="s">
        <v>127</v>
      </c>
      <c r="C165" t="s">
        <v>83</v>
      </c>
      <c r="D165" t="s">
        <v>54</v>
      </c>
      <c r="E165" t="s">
        <v>98</v>
      </c>
      <c r="F165" t="s">
        <v>50</v>
      </c>
      <c r="G165" t="s">
        <v>110</v>
      </c>
      <c r="H165" t="s">
        <v>27</v>
      </c>
      <c r="I165">
        <v>10</v>
      </c>
      <c r="J165">
        <v>4101.6000000000004</v>
      </c>
      <c r="K165">
        <v>2830.4</v>
      </c>
      <c r="L165">
        <v>1271.2</v>
      </c>
      <c r="M165" s="5" t="str">
        <f>TEXT(Table2[[#This Row],[Order Date]],"mm")</f>
        <v>05</v>
      </c>
      <c r="N165">
        <f>YEAR(Table2[[#This Row],[Order Date]])</f>
        <v>2025</v>
      </c>
    </row>
    <row r="166" spans="1:14" x14ac:dyDescent="0.3">
      <c r="A166" t="s">
        <v>172</v>
      </c>
      <c r="B166" t="s">
        <v>173</v>
      </c>
      <c r="C166" t="s">
        <v>70</v>
      </c>
      <c r="D166" t="s">
        <v>23</v>
      </c>
      <c r="E166" t="s">
        <v>24</v>
      </c>
      <c r="F166" t="s">
        <v>50</v>
      </c>
      <c r="G166" t="s">
        <v>80</v>
      </c>
      <c r="H166" t="s">
        <v>19</v>
      </c>
      <c r="I166">
        <v>9</v>
      </c>
      <c r="J166">
        <v>6647.22</v>
      </c>
      <c r="K166">
        <v>4716.54</v>
      </c>
      <c r="L166">
        <v>1930.68</v>
      </c>
      <c r="M166" s="5" t="str">
        <f>TEXT(Table2[[#This Row],[Order Date]],"mm")</f>
        <v>05</v>
      </c>
      <c r="N166">
        <f>YEAR(Table2[[#This Row],[Order Date]])</f>
        <v>2025</v>
      </c>
    </row>
    <row r="167" spans="1:14" x14ac:dyDescent="0.3">
      <c r="A167" t="s">
        <v>190</v>
      </c>
      <c r="B167" t="s">
        <v>191</v>
      </c>
      <c r="C167" t="s">
        <v>74</v>
      </c>
      <c r="D167" t="s">
        <v>23</v>
      </c>
      <c r="E167" t="s">
        <v>37</v>
      </c>
      <c r="F167" t="s">
        <v>50</v>
      </c>
      <c r="G167" t="s">
        <v>110</v>
      </c>
      <c r="H167" t="s">
        <v>44</v>
      </c>
      <c r="I167">
        <v>5</v>
      </c>
      <c r="J167">
        <v>14345</v>
      </c>
      <c r="K167">
        <v>9311.4500000000007</v>
      </c>
      <c r="L167">
        <v>5033.55</v>
      </c>
      <c r="M167" s="5" t="str">
        <f>TEXT(Table2[[#This Row],[Order Date]],"mm")</f>
        <v>05</v>
      </c>
      <c r="N167">
        <f>YEAR(Table2[[#This Row],[Order Date]])</f>
        <v>2025</v>
      </c>
    </row>
    <row r="168" spans="1:14" x14ac:dyDescent="0.3">
      <c r="A168" t="s">
        <v>200</v>
      </c>
      <c r="B168" t="s">
        <v>201</v>
      </c>
      <c r="C168" t="s">
        <v>42</v>
      </c>
      <c r="D168" t="s">
        <v>15</v>
      </c>
      <c r="E168" t="s">
        <v>31</v>
      </c>
      <c r="F168" t="s">
        <v>50</v>
      </c>
      <c r="G168" t="s">
        <v>134</v>
      </c>
      <c r="H168" t="s">
        <v>64</v>
      </c>
      <c r="I168">
        <v>4</v>
      </c>
      <c r="J168">
        <v>7538.92</v>
      </c>
      <c r="K168">
        <v>4860.76</v>
      </c>
      <c r="L168">
        <v>2678.16</v>
      </c>
      <c r="M168" s="5" t="str">
        <f>TEXT(Table2[[#This Row],[Order Date]],"mm")</f>
        <v>05</v>
      </c>
      <c r="N168">
        <f>YEAR(Table2[[#This Row],[Order Date]])</f>
        <v>2025</v>
      </c>
    </row>
    <row r="169" spans="1:14" x14ac:dyDescent="0.3">
      <c r="A169" t="s">
        <v>209</v>
      </c>
      <c r="B169" t="s">
        <v>210</v>
      </c>
      <c r="C169" t="s">
        <v>206</v>
      </c>
      <c r="D169" t="s">
        <v>15</v>
      </c>
      <c r="E169" t="s">
        <v>89</v>
      </c>
      <c r="F169" t="s">
        <v>17</v>
      </c>
      <c r="G169" t="s">
        <v>38</v>
      </c>
      <c r="H169" t="s">
        <v>60</v>
      </c>
      <c r="I169">
        <v>9</v>
      </c>
      <c r="J169">
        <v>23482.080000000002</v>
      </c>
      <c r="K169">
        <v>16092.18</v>
      </c>
      <c r="L169">
        <v>7389.9</v>
      </c>
      <c r="M169" s="5" t="str">
        <f>TEXT(Table2[[#This Row],[Order Date]],"mm")</f>
        <v>05</v>
      </c>
      <c r="N169">
        <f>YEAR(Table2[[#This Row],[Order Date]])</f>
        <v>2025</v>
      </c>
    </row>
    <row r="170" spans="1:14" x14ac:dyDescent="0.3">
      <c r="A170" t="s">
        <v>222</v>
      </c>
      <c r="B170" t="s">
        <v>223</v>
      </c>
      <c r="C170" t="s">
        <v>83</v>
      </c>
      <c r="D170" t="s">
        <v>54</v>
      </c>
      <c r="E170" t="s">
        <v>75</v>
      </c>
      <c r="F170" t="s">
        <v>50</v>
      </c>
      <c r="G170" t="s">
        <v>95</v>
      </c>
      <c r="H170" t="s">
        <v>19</v>
      </c>
      <c r="I170">
        <v>6</v>
      </c>
      <c r="J170">
        <v>3876.24</v>
      </c>
      <c r="K170">
        <v>2479.8000000000002</v>
      </c>
      <c r="L170">
        <v>1396.44</v>
      </c>
      <c r="M170" s="5" t="str">
        <f>TEXT(Table2[[#This Row],[Order Date]],"mm")</f>
        <v>05</v>
      </c>
      <c r="N170">
        <f>YEAR(Table2[[#This Row],[Order Date]])</f>
        <v>2025</v>
      </c>
    </row>
    <row r="171" spans="1:14" x14ac:dyDescent="0.3">
      <c r="A171" t="s">
        <v>224</v>
      </c>
      <c r="B171" t="s">
        <v>225</v>
      </c>
      <c r="C171" t="s">
        <v>113</v>
      </c>
      <c r="D171" t="s">
        <v>54</v>
      </c>
      <c r="E171" t="s">
        <v>133</v>
      </c>
      <c r="F171" t="s">
        <v>25</v>
      </c>
      <c r="G171" t="s">
        <v>158</v>
      </c>
      <c r="H171" t="s">
        <v>19</v>
      </c>
      <c r="I171">
        <v>1</v>
      </c>
      <c r="J171">
        <v>1109.93</v>
      </c>
      <c r="K171">
        <v>833.91</v>
      </c>
      <c r="L171">
        <v>276.02</v>
      </c>
      <c r="M171" s="5" t="str">
        <f>TEXT(Table2[[#This Row],[Order Date]],"mm")</f>
        <v>05</v>
      </c>
      <c r="N171">
        <f>YEAR(Table2[[#This Row],[Order Date]])</f>
        <v>2025</v>
      </c>
    </row>
    <row r="172" spans="1:14" x14ac:dyDescent="0.3">
      <c r="A172" t="s">
        <v>238</v>
      </c>
      <c r="B172" t="s">
        <v>191</v>
      </c>
      <c r="C172" t="s">
        <v>161</v>
      </c>
      <c r="D172" t="s">
        <v>48</v>
      </c>
      <c r="E172" t="s">
        <v>84</v>
      </c>
      <c r="F172" t="s">
        <v>25</v>
      </c>
      <c r="G172" t="s">
        <v>26</v>
      </c>
      <c r="H172" t="s">
        <v>60</v>
      </c>
      <c r="I172">
        <v>10</v>
      </c>
      <c r="J172">
        <v>22144.9</v>
      </c>
      <c r="K172">
        <v>16299.8</v>
      </c>
      <c r="L172">
        <v>5845.1</v>
      </c>
      <c r="M172" s="5" t="str">
        <f>TEXT(Table2[[#This Row],[Order Date]],"mm")</f>
        <v>05</v>
      </c>
      <c r="N172">
        <f>YEAR(Table2[[#This Row],[Order Date]])</f>
        <v>2025</v>
      </c>
    </row>
    <row r="173" spans="1:14" x14ac:dyDescent="0.3">
      <c r="A173" t="s">
        <v>247</v>
      </c>
      <c r="B173" t="s">
        <v>210</v>
      </c>
      <c r="C173" t="s">
        <v>143</v>
      </c>
      <c r="D173" t="s">
        <v>15</v>
      </c>
      <c r="E173" t="s">
        <v>89</v>
      </c>
      <c r="F173" t="s">
        <v>17</v>
      </c>
      <c r="G173" t="s">
        <v>116</v>
      </c>
      <c r="H173" t="s">
        <v>85</v>
      </c>
      <c r="I173">
        <v>9</v>
      </c>
      <c r="J173">
        <v>14273.73</v>
      </c>
      <c r="K173">
        <v>9124.11</v>
      </c>
      <c r="L173">
        <v>5149.62</v>
      </c>
      <c r="M173" s="5" t="str">
        <f>TEXT(Table2[[#This Row],[Order Date]],"mm")</f>
        <v>05</v>
      </c>
      <c r="N173">
        <f>YEAR(Table2[[#This Row],[Order Date]])</f>
        <v>2025</v>
      </c>
    </row>
    <row r="174" spans="1:14" x14ac:dyDescent="0.3">
      <c r="A174" t="s">
        <v>256</v>
      </c>
      <c r="B174" t="s">
        <v>257</v>
      </c>
      <c r="C174" t="s">
        <v>94</v>
      </c>
      <c r="D174" t="s">
        <v>23</v>
      </c>
      <c r="E174" t="s">
        <v>37</v>
      </c>
      <c r="F174" t="s">
        <v>25</v>
      </c>
      <c r="G174" t="s">
        <v>32</v>
      </c>
      <c r="H174" t="s">
        <v>33</v>
      </c>
      <c r="I174">
        <v>2</v>
      </c>
      <c r="J174">
        <v>1353.84</v>
      </c>
      <c r="K174">
        <v>901.02</v>
      </c>
      <c r="L174">
        <v>452.82</v>
      </c>
      <c r="M174" s="5" t="str">
        <f>TEXT(Table2[[#This Row],[Order Date]],"mm")</f>
        <v>05</v>
      </c>
      <c r="N174">
        <f>YEAR(Table2[[#This Row],[Order Date]])</f>
        <v>2025</v>
      </c>
    </row>
    <row r="175" spans="1:14" x14ac:dyDescent="0.3">
      <c r="A175" t="s">
        <v>262</v>
      </c>
      <c r="B175" t="s">
        <v>223</v>
      </c>
      <c r="C175" t="s">
        <v>263</v>
      </c>
      <c r="D175" t="s">
        <v>48</v>
      </c>
      <c r="E175" t="s">
        <v>49</v>
      </c>
      <c r="F175" t="s">
        <v>50</v>
      </c>
      <c r="G175" t="s">
        <v>95</v>
      </c>
      <c r="H175" t="s">
        <v>44</v>
      </c>
      <c r="I175">
        <v>10</v>
      </c>
      <c r="J175">
        <v>5352.4</v>
      </c>
      <c r="K175">
        <v>4558</v>
      </c>
      <c r="L175">
        <v>794.4</v>
      </c>
      <c r="M175" s="5" t="str">
        <f>TEXT(Table2[[#This Row],[Order Date]],"mm")</f>
        <v>05</v>
      </c>
      <c r="N175">
        <f>YEAR(Table2[[#This Row],[Order Date]])</f>
        <v>2025</v>
      </c>
    </row>
    <row r="176" spans="1:14" x14ac:dyDescent="0.3">
      <c r="A176" t="s">
        <v>270</v>
      </c>
      <c r="B176" t="s">
        <v>271</v>
      </c>
      <c r="C176" t="s">
        <v>74</v>
      </c>
      <c r="D176" t="s">
        <v>54</v>
      </c>
      <c r="E176" t="s">
        <v>55</v>
      </c>
      <c r="F176" t="s">
        <v>25</v>
      </c>
      <c r="G176" t="s">
        <v>32</v>
      </c>
      <c r="H176" t="s">
        <v>64</v>
      </c>
      <c r="I176">
        <v>4</v>
      </c>
      <c r="J176">
        <v>6679.88</v>
      </c>
      <c r="K176">
        <v>5062.84</v>
      </c>
      <c r="L176">
        <v>1617.04</v>
      </c>
      <c r="M176" s="5" t="str">
        <f>TEXT(Table2[[#This Row],[Order Date]],"mm")</f>
        <v>05</v>
      </c>
      <c r="N176">
        <f>YEAR(Table2[[#This Row],[Order Date]])</f>
        <v>2025</v>
      </c>
    </row>
    <row r="177" spans="1:14" x14ac:dyDescent="0.3">
      <c r="A177" t="s">
        <v>350</v>
      </c>
      <c r="B177" t="s">
        <v>351</v>
      </c>
      <c r="C177" t="s">
        <v>14</v>
      </c>
      <c r="D177" t="s">
        <v>54</v>
      </c>
      <c r="E177" t="s">
        <v>75</v>
      </c>
      <c r="F177" t="s">
        <v>25</v>
      </c>
      <c r="G177" t="s">
        <v>71</v>
      </c>
      <c r="H177" t="s">
        <v>60</v>
      </c>
      <c r="I177">
        <v>6</v>
      </c>
      <c r="J177">
        <v>17211.18</v>
      </c>
      <c r="K177">
        <v>11927.4</v>
      </c>
      <c r="L177">
        <v>5283.78</v>
      </c>
      <c r="M177" s="5" t="str">
        <f>TEXT(Table2[[#This Row],[Order Date]],"mm")</f>
        <v>05</v>
      </c>
      <c r="N177">
        <f>YEAR(Table2[[#This Row],[Order Date]])</f>
        <v>2025</v>
      </c>
    </row>
    <row r="178" spans="1:14" x14ac:dyDescent="0.3">
      <c r="A178" t="s">
        <v>374</v>
      </c>
      <c r="B178" t="s">
        <v>351</v>
      </c>
      <c r="C178" t="s">
        <v>74</v>
      </c>
      <c r="D178" t="s">
        <v>23</v>
      </c>
      <c r="E178" t="s">
        <v>43</v>
      </c>
      <c r="F178" t="s">
        <v>25</v>
      </c>
      <c r="G178" t="s">
        <v>56</v>
      </c>
      <c r="H178" t="s">
        <v>85</v>
      </c>
      <c r="I178">
        <v>8</v>
      </c>
      <c r="J178">
        <v>3096.96</v>
      </c>
      <c r="K178">
        <v>1985.28</v>
      </c>
      <c r="L178">
        <v>1111.68</v>
      </c>
      <c r="M178" s="5" t="str">
        <f>TEXT(Table2[[#This Row],[Order Date]],"mm")</f>
        <v>05</v>
      </c>
      <c r="N178">
        <f>YEAR(Table2[[#This Row],[Order Date]])</f>
        <v>2025</v>
      </c>
    </row>
    <row r="179" spans="1:14" x14ac:dyDescent="0.3">
      <c r="A179" t="s">
        <v>388</v>
      </c>
      <c r="B179" t="s">
        <v>351</v>
      </c>
      <c r="C179" t="s">
        <v>30</v>
      </c>
      <c r="D179" t="s">
        <v>48</v>
      </c>
      <c r="E179" t="s">
        <v>84</v>
      </c>
      <c r="F179" t="s">
        <v>25</v>
      </c>
      <c r="G179" t="s">
        <v>26</v>
      </c>
      <c r="H179" t="s">
        <v>39</v>
      </c>
      <c r="I179">
        <v>3</v>
      </c>
      <c r="J179">
        <v>5633.19</v>
      </c>
      <c r="K179">
        <v>3788.46</v>
      </c>
      <c r="L179">
        <v>1844.73</v>
      </c>
      <c r="M179" s="5" t="str">
        <f>TEXT(Table2[[#This Row],[Order Date]],"mm")</f>
        <v>05</v>
      </c>
      <c r="N179">
        <f>YEAR(Table2[[#This Row],[Order Date]])</f>
        <v>2025</v>
      </c>
    </row>
    <row r="180" spans="1:14" x14ac:dyDescent="0.3">
      <c r="A180" t="s">
        <v>406</v>
      </c>
      <c r="B180" t="s">
        <v>257</v>
      </c>
      <c r="C180" t="s">
        <v>143</v>
      </c>
      <c r="D180" t="s">
        <v>23</v>
      </c>
      <c r="E180" t="s">
        <v>37</v>
      </c>
      <c r="F180" t="s">
        <v>50</v>
      </c>
      <c r="G180" t="s">
        <v>51</v>
      </c>
      <c r="H180" t="s">
        <v>39</v>
      </c>
      <c r="I180">
        <v>7</v>
      </c>
      <c r="J180">
        <v>9949.52</v>
      </c>
      <c r="K180">
        <v>7090.16</v>
      </c>
      <c r="L180">
        <v>2859.36</v>
      </c>
      <c r="M180" s="5" t="str">
        <f>TEXT(Table2[[#This Row],[Order Date]],"mm")</f>
        <v>05</v>
      </c>
      <c r="N180">
        <f>YEAR(Table2[[#This Row],[Order Date]])</f>
        <v>2025</v>
      </c>
    </row>
    <row r="181" spans="1:14" x14ac:dyDescent="0.3">
      <c r="A181" t="s">
        <v>407</v>
      </c>
      <c r="B181" t="s">
        <v>408</v>
      </c>
      <c r="C181" t="s">
        <v>14</v>
      </c>
      <c r="D181" t="s">
        <v>54</v>
      </c>
      <c r="E181" t="s">
        <v>133</v>
      </c>
      <c r="F181" t="s">
        <v>50</v>
      </c>
      <c r="G181" t="s">
        <v>134</v>
      </c>
      <c r="H181" t="s">
        <v>85</v>
      </c>
      <c r="I181">
        <v>2</v>
      </c>
      <c r="J181">
        <v>760.22</v>
      </c>
      <c r="K181">
        <v>575.16</v>
      </c>
      <c r="L181">
        <v>185.06</v>
      </c>
      <c r="M181" s="5" t="str">
        <f>TEXT(Table2[[#This Row],[Order Date]],"mm")</f>
        <v>05</v>
      </c>
      <c r="N181">
        <f>YEAR(Table2[[#This Row],[Order Date]])</f>
        <v>2025</v>
      </c>
    </row>
    <row r="182" spans="1:14" x14ac:dyDescent="0.3">
      <c r="A182" t="s">
        <v>435</v>
      </c>
      <c r="B182" t="s">
        <v>436</v>
      </c>
      <c r="C182" t="s">
        <v>263</v>
      </c>
      <c r="D182" t="s">
        <v>48</v>
      </c>
      <c r="E182" t="s">
        <v>84</v>
      </c>
      <c r="F182" t="s">
        <v>17</v>
      </c>
      <c r="G182" t="s">
        <v>76</v>
      </c>
      <c r="H182" t="s">
        <v>64</v>
      </c>
      <c r="I182">
        <v>8</v>
      </c>
      <c r="J182">
        <v>14634.72</v>
      </c>
      <c r="K182">
        <v>9311.44</v>
      </c>
      <c r="L182">
        <v>5323.28</v>
      </c>
      <c r="M182" s="5" t="str">
        <f>TEXT(Table2[[#This Row],[Order Date]],"mm")</f>
        <v>05</v>
      </c>
      <c r="N182">
        <f>YEAR(Table2[[#This Row],[Order Date]])</f>
        <v>2025</v>
      </c>
    </row>
    <row r="183" spans="1:14" x14ac:dyDescent="0.3">
      <c r="A183" t="s">
        <v>449</v>
      </c>
      <c r="B183" t="s">
        <v>450</v>
      </c>
      <c r="C183" t="s">
        <v>74</v>
      </c>
      <c r="D183" t="s">
        <v>23</v>
      </c>
      <c r="E183" t="s">
        <v>43</v>
      </c>
      <c r="F183" t="s">
        <v>50</v>
      </c>
      <c r="G183" t="s">
        <v>134</v>
      </c>
      <c r="H183" t="s">
        <v>64</v>
      </c>
      <c r="I183">
        <v>2</v>
      </c>
      <c r="J183">
        <v>2098.8200000000002</v>
      </c>
      <c r="K183">
        <v>1760.82</v>
      </c>
      <c r="L183">
        <v>338</v>
      </c>
      <c r="M183" s="5" t="str">
        <f>TEXT(Table2[[#This Row],[Order Date]],"mm")</f>
        <v>05</v>
      </c>
      <c r="N183">
        <f>YEAR(Table2[[#This Row],[Order Date]])</f>
        <v>2025</v>
      </c>
    </row>
    <row r="184" spans="1:14" x14ac:dyDescent="0.3">
      <c r="A184" t="s">
        <v>459</v>
      </c>
      <c r="B184" t="s">
        <v>460</v>
      </c>
      <c r="C184" t="s">
        <v>94</v>
      </c>
      <c r="D184" t="s">
        <v>15</v>
      </c>
      <c r="E184" t="s">
        <v>31</v>
      </c>
      <c r="F184" t="s">
        <v>17</v>
      </c>
      <c r="G184" t="s">
        <v>76</v>
      </c>
      <c r="H184" t="s">
        <v>44</v>
      </c>
      <c r="I184">
        <v>2</v>
      </c>
      <c r="J184">
        <v>1652.68</v>
      </c>
      <c r="K184">
        <v>1055.08</v>
      </c>
      <c r="L184">
        <v>597.6</v>
      </c>
      <c r="M184" s="5" t="str">
        <f>TEXT(Table2[[#This Row],[Order Date]],"mm")</f>
        <v>05</v>
      </c>
      <c r="N184">
        <f>YEAR(Table2[[#This Row],[Order Date]])</f>
        <v>2025</v>
      </c>
    </row>
    <row r="185" spans="1:14" x14ac:dyDescent="0.3">
      <c r="A185" t="s">
        <v>474</v>
      </c>
      <c r="B185" t="s">
        <v>100</v>
      </c>
      <c r="C185" t="s">
        <v>79</v>
      </c>
      <c r="D185" t="s">
        <v>23</v>
      </c>
      <c r="E185" t="s">
        <v>37</v>
      </c>
      <c r="F185" t="s">
        <v>50</v>
      </c>
      <c r="G185" t="s">
        <v>110</v>
      </c>
      <c r="H185" t="s">
        <v>60</v>
      </c>
      <c r="I185">
        <v>10</v>
      </c>
      <c r="J185">
        <v>7820.4</v>
      </c>
      <c r="K185">
        <v>6249.9</v>
      </c>
      <c r="L185">
        <v>1570.5</v>
      </c>
      <c r="M185" s="5" t="str">
        <f>TEXT(Table2[[#This Row],[Order Date]],"mm")</f>
        <v>05</v>
      </c>
      <c r="N185">
        <f>YEAR(Table2[[#This Row],[Order Date]])</f>
        <v>2025</v>
      </c>
    </row>
    <row r="186" spans="1:14" x14ac:dyDescent="0.3">
      <c r="A186" t="s">
        <v>488</v>
      </c>
      <c r="B186" t="s">
        <v>489</v>
      </c>
      <c r="C186" t="s">
        <v>113</v>
      </c>
      <c r="D186" t="s">
        <v>48</v>
      </c>
      <c r="E186" t="s">
        <v>84</v>
      </c>
      <c r="F186" t="s">
        <v>25</v>
      </c>
      <c r="G186" t="s">
        <v>71</v>
      </c>
      <c r="H186" t="s">
        <v>19</v>
      </c>
      <c r="I186">
        <v>7</v>
      </c>
      <c r="J186">
        <v>16229.71</v>
      </c>
      <c r="K186">
        <v>13002.64</v>
      </c>
      <c r="L186">
        <v>3227.07</v>
      </c>
      <c r="M186" s="5" t="str">
        <f>TEXT(Table2[[#This Row],[Order Date]],"mm")</f>
        <v>05</v>
      </c>
      <c r="N186">
        <f>YEAR(Table2[[#This Row],[Order Date]])</f>
        <v>2025</v>
      </c>
    </row>
    <row r="187" spans="1:14" x14ac:dyDescent="0.3">
      <c r="A187" t="s">
        <v>526</v>
      </c>
      <c r="B187" t="s">
        <v>436</v>
      </c>
      <c r="C187" t="s">
        <v>113</v>
      </c>
      <c r="D187" t="s">
        <v>48</v>
      </c>
      <c r="E187" t="s">
        <v>107</v>
      </c>
      <c r="F187" t="s">
        <v>17</v>
      </c>
      <c r="G187" t="s">
        <v>76</v>
      </c>
      <c r="H187" t="s">
        <v>85</v>
      </c>
      <c r="I187">
        <v>4</v>
      </c>
      <c r="J187">
        <v>992.8</v>
      </c>
      <c r="K187">
        <v>818.92</v>
      </c>
      <c r="L187">
        <v>173.88</v>
      </c>
      <c r="M187" s="5" t="str">
        <f>TEXT(Table2[[#This Row],[Order Date]],"mm")</f>
        <v>05</v>
      </c>
      <c r="N187">
        <f>YEAR(Table2[[#This Row],[Order Date]])</f>
        <v>2025</v>
      </c>
    </row>
    <row r="188" spans="1:14" x14ac:dyDescent="0.3">
      <c r="A188" t="s">
        <v>557</v>
      </c>
      <c r="B188" t="s">
        <v>408</v>
      </c>
      <c r="C188" t="s">
        <v>132</v>
      </c>
      <c r="D188" t="s">
        <v>15</v>
      </c>
      <c r="E188" t="s">
        <v>31</v>
      </c>
      <c r="F188" t="s">
        <v>17</v>
      </c>
      <c r="G188" t="s">
        <v>38</v>
      </c>
      <c r="H188" t="s">
        <v>27</v>
      </c>
      <c r="I188">
        <v>6</v>
      </c>
      <c r="J188">
        <v>11149.92</v>
      </c>
      <c r="K188">
        <v>8659.7999999999993</v>
      </c>
      <c r="L188">
        <v>2490.12</v>
      </c>
      <c r="M188" s="5" t="str">
        <f>TEXT(Table2[[#This Row],[Order Date]],"mm")</f>
        <v>05</v>
      </c>
      <c r="N188">
        <f>YEAR(Table2[[#This Row],[Order Date]])</f>
        <v>2025</v>
      </c>
    </row>
    <row r="189" spans="1:14" x14ac:dyDescent="0.3">
      <c r="A189" t="s">
        <v>569</v>
      </c>
      <c r="B189" t="s">
        <v>223</v>
      </c>
      <c r="C189" t="s">
        <v>263</v>
      </c>
      <c r="D189" t="s">
        <v>54</v>
      </c>
      <c r="E189" t="s">
        <v>133</v>
      </c>
      <c r="F189" t="s">
        <v>17</v>
      </c>
      <c r="G189" t="s">
        <v>116</v>
      </c>
      <c r="H189" t="s">
        <v>64</v>
      </c>
      <c r="I189">
        <v>6</v>
      </c>
      <c r="J189">
        <v>14071.32</v>
      </c>
      <c r="K189">
        <v>11179.56</v>
      </c>
      <c r="L189">
        <v>2891.76</v>
      </c>
      <c r="M189" s="5" t="str">
        <f>TEXT(Table2[[#This Row],[Order Date]],"mm")</f>
        <v>05</v>
      </c>
      <c r="N189">
        <f>YEAR(Table2[[#This Row],[Order Date]])</f>
        <v>2025</v>
      </c>
    </row>
    <row r="190" spans="1:14" x14ac:dyDescent="0.3">
      <c r="A190" t="s">
        <v>580</v>
      </c>
      <c r="B190" t="s">
        <v>408</v>
      </c>
      <c r="C190" t="s">
        <v>94</v>
      </c>
      <c r="D190" t="s">
        <v>48</v>
      </c>
      <c r="E190" t="s">
        <v>67</v>
      </c>
      <c r="F190" t="s">
        <v>17</v>
      </c>
      <c r="G190" t="s">
        <v>38</v>
      </c>
      <c r="H190" t="s">
        <v>19</v>
      </c>
      <c r="I190">
        <v>6</v>
      </c>
      <c r="J190">
        <v>7399.74</v>
      </c>
      <c r="K190">
        <v>4892.9399999999996</v>
      </c>
      <c r="L190">
        <v>2506.8000000000002</v>
      </c>
      <c r="M190" s="5" t="str">
        <f>TEXT(Table2[[#This Row],[Order Date]],"mm")</f>
        <v>05</v>
      </c>
      <c r="N190">
        <f>YEAR(Table2[[#This Row],[Order Date]])</f>
        <v>2025</v>
      </c>
    </row>
    <row r="191" spans="1:14" x14ac:dyDescent="0.3">
      <c r="A191" t="s">
        <v>583</v>
      </c>
      <c r="B191" t="s">
        <v>584</v>
      </c>
      <c r="C191" t="s">
        <v>36</v>
      </c>
      <c r="D191" t="s">
        <v>54</v>
      </c>
      <c r="E191" t="s">
        <v>98</v>
      </c>
      <c r="F191" t="s">
        <v>50</v>
      </c>
      <c r="G191" t="s">
        <v>80</v>
      </c>
      <c r="H191" t="s">
        <v>44</v>
      </c>
      <c r="I191">
        <v>8</v>
      </c>
      <c r="J191">
        <v>14438.64</v>
      </c>
      <c r="K191">
        <v>9208.16</v>
      </c>
      <c r="L191">
        <v>5230.4799999999996</v>
      </c>
      <c r="M191" s="5" t="str">
        <f>TEXT(Table2[[#This Row],[Order Date]],"mm")</f>
        <v>05</v>
      </c>
      <c r="N191">
        <f>YEAR(Table2[[#This Row],[Order Date]])</f>
        <v>2025</v>
      </c>
    </row>
    <row r="192" spans="1:14" x14ac:dyDescent="0.3">
      <c r="A192" t="s">
        <v>595</v>
      </c>
      <c r="B192" t="s">
        <v>596</v>
      </c>
      <c r="C192" t="s">
        <v>70</v>
      </c>
      <c r="D192" t="s">
        <v>54</v>
      </c>
      <c r="E192" t="s">
        <v>98</v>
      </c>
      <c r="F192" t="s">
        <v>50</v>
      </c>
      <c r="G192" t="s">
        <v>51</v>
      </c>
      <c r="H192" t="s">
        <v>39</v>
      </c>
      <c r="I192">
        <v>2</v>
      </c>
      <c r="J192">
        <v>1111.02</v>
      </c>
      <c r="K192">
        <v>924.6</v>
      </c>
      <c r="L192">
        <v>186.42</v>
      </c>
      <c r="M192" s="5" t="str">
        <f>TEXT(Table2[[#This Row],[Order Date]],"mm")</f>
        <v>05</v>
      </c>
      <c r="N192">
        <f>YEAR(Table2[[#This Row],[Order Date]])</f>
        <v>2025</v>
      </c>
    </row>
    <row r="193" spans="1:14" x14ac:dyDescent="0.3">
      <c r="A193" t="s">
        <v>606</v>
      </c>
      <c r="B193" t="s">
        <v>584</v>
      </c>
      <c r="C193" t="s">
        <v>206</v>
      </c>
      <c r="D193" t="s">
        <v>15</v>
      </c>
      <c r="E193" t="s">
        <v>183</v>
      </c>
      <c r="F193" t="s">
        <v>25</v>
      </c>
      <c r="G193" t="s">
        <v>71</v>
      </c>
      <c r="H193" t="s">
        <v>39</v>
      </c>
      <c r="I193">
        <v>7</v>
      </c>
      <c r="J193">
        <v>14847.98</v>
      </c>
      <c r="K193">
        <v>9548.91</v>
      </c>
      <c r="L193">
        <v>5299.07</v>
      </c>
      <c r="M193" s="5" t="str">
        <f>TEXT(Table2[[#This Row],[Order Date]],"mm")</f>
        <v>05</v>
      </c>
      <c r="N193">
        <f>YEAR(Table2[[#This Row],[Order Date]])</f>
        <v>2025</v>
      </c>
    </row>
    <row r="194" spans="1:14" x14ac:dyDescent="0.3">
      <c r="A194" t="s">
        <v>630</v>
      </c>
      <c r="B194" t="s">
        <v>631</v>
      </c>
      <c r="C194" t="s">
        <v>36</v>
      </c>
      <c r="D194" t="s">
        <v>15</v>
      </c>
      <c r="E194" t="s">
        <v>31</v>
      </c>
      <c r="F194" t="s">
        <v>17</v>
      </c>
      <c r="G194" t="s">
        <v>63</v>
      </c>
      <c r="H194" t="s">
        <v>64</v>
      </c>
      <c r="I194">
        <v>5</v>
      </c>
      <c r="J194">
        <v>9187.5</v>
      </c>
      <c r="K194">
        <v>7489.7</v>
      </c>
      <c r="L194">
        <v>1697.8</v>
      </c>
      <c r="M194" s="5" t="str">
        <f>TEXT(Table2[[#This Row],[Order Date]],"mm")</f>
        <v>05</v>
      </c>
      <c r="N194">
        <f>YEAR(Table2[[#This Row],[Order Date]])</f>
        <v>2025</v>
      </c>
    </row>
    <row r="195" spans="1:14" x14ac:dyDescent="0.3">
      <c r="A195" t="s">
        <v>633</v>
      </c>
      <c r="B195" t="s">
        <v>596</v>
      </c>
      <c r="C195" t="s">
        <v>94</v>
      </c>
      <c r="D195" t="s">
        <v>15</v>
      </c>
      <c r="E195" t="s">
        <v>183</v>
      </c>
      <c r="F195" t="s">
        <v>17</v>
      </c>
      <c r="G195" t="s">
        <v>18</v>
      </c>
      <c r="H195" t="s">
        <v>60</v>
      </c>
      <c r="I195">
        <v>9</v>
      </c>
      <c r="J195">
        <v>19424.7</v>
      </c>
      <c r="K195">
        <v>15867.54</v>
      </c>
      <c r="L195">
        <v>3557.16</v>
      </c>
      <c r="M195" s="5" t="str">
        <f>TEXT(Table2[[#This Row],[Order Date]],"mm")</f>
        <v>05</v>
      </c>
      <c r="N195">
        <f>YEAR(Table2[[#This Row],[Order Date]])</f>
        <v>2025</v>
      </c>
    </row>
    <row r="196" spans="1:14" x14ac:dyDescent="0.3">
      <c r="A196" t="s">
        <v>666</v>
      </c>
      <c r="B196" t="s">
        <v>667</v>
      </c>
      <c r="C196" t="s">
        <v>94</v>
      </c>
      <c r="D196" t="s">
        <v>23</v>
      </c>
      <c r="E196" t="s">
        <v>24</v>
      </c>
      <c r="F196" t="s">
        <v>50</v>
      </c>
      <c r="G196" t="s">
        <v>110</v>
      </c>
      <c r="H196" t="s">
        <v>19</v>
      </c>
      <c r="I196">
        <v>8</v>
      </c>
      <c r="J196">
        <v>12037.12</v>
      </c>
      <c r="K196">
        <v>8218.9599999999991</v>
      </c>
      <c r="L196">
        <v>3818.16</v>
      </c>
      <c r="M196" s="5" t="str">
        <f>TEXT(Table2[[#This Row],[Order Date]],"mm")</f>
        <v>05</v>
      </c>
      <c r="N196">
        <f>YEAR(Table2[[#This Row],[Order Date]])</f>
        <v>2025</v>
      </c>
    </row>
    <row r="197" spans="1:14" x14ac:dyDescent="0.3">
      <c r="A197" t="s">
        <v>681</v>
      </c>
      <c r="B197" t="s">
        <v>682</v>
      </c>
      <c r="C197" t="s">
        <v>335</v>
      </c>
      <c r="D197" t="s">
        <v>54</v>
      </c>
      <c r="E197" t="s">
        <v>75</v>
      </c>
      <c r="F197" t="s">
        <v>25</v>
      </c>
      <c r="G197" t="s">
        <v>26</v>
      </c>
      <c r="H197" t="s">
        <v>64</v>
      </c>
      <c r="I197">
        <v>1</v>
      </c>
      <c r="J197">
        <v>2979.77</v>
      </c>
      <c r="K197">
        <v>1868.61</v>
      </c>
      <c r="L197">
        <v>1111.1600000000001</v>
      </c>
      <c r="M197" s="5" t="str">
        <f>TEXT(Table2[[#This Row],[Order Date]],"mm")</f>
        <v>05</v>
      </c>
      <c r="N197">
        <f>YEAR(Table2[[#This Row],[Order Date]])</f>
        <v>2025</v>
      </c>
    </row>
    <row r="198" spans="1:14" x14ac:dyDescent="0.3">
      <c r="A198" t="s">
        <v>699</v>
      </c>
      <c r="B198" t="s">
        <v>127</v>
      </c>
      <c r="C198" t="s">
        <v>83</v>
      </c>
      <c r="D198" t="s">
        <v>15</v>
      </c>
      <c r="E198" t="s">
        <v>183</v>
      </c>
      <c r="F198" t="s">
        <v>50</v>
      </c>
      <c r="G198" t="s">
        <v>80</v>
      </c>
      <c r="H198" t="s">
        <v>39</v>
      </c>
      <c r="I198">
        <v>4</v>
      </c>
      <c r="J198">
        <v>9535.44</v>
      </c>
      <c r="K198">
        <v>6436.04</v>
      </c>
      <c r="L198">
        <v>3099.4</v>
      </c>
      <c r="M198" s="5" t="str">
        <f>TEXT(Table2[[#This Row],[Order Date]],"mm")</f>
        <v>05</v>
      </c>
      <c r="N198">
        <f>YEAR(Table2[[#This Row],[Order Date]])</f>
        <v>2025</v>
      </c>
    </row>
    <row r="199" spans="1:14" x14ac:dyDescent="0.3">
      <c r="A199" t="s">
        <v>704</v>
      </c>
      <c r="B199" t="s">
        <v>460</v>
      </c>
      <c r="C199" t="s">
        <v>42</v>
      </c>
      <c r="D199" t="s">
        <v>15</v>
      </c>
      <c r="E199" t="s">
        <v>16</v>
      </c>
      <c r="F199" t="s">
        <v>50</v>
      </c>
      <c r="G199" t="s">
        <v>110</v>
      </c>
      <c r="H199" t="s">
        <v>33</v>
      </c>
      <c r="I199">
        <v>1</v>
      </c>
      <c r="J199">
        <v>533.49</v>
      </c>
      <c r="K199">
        <v>335.13</v>
      </c>
      <c r="L199">
        <v>198.36</v>
      </c>
      <c r="M199" s="5" t="str">
        <f>TEXT(Table2[[#This Row],[Order Date]],"mm")</f>
        <v>05</v>
      </c>
      <c r="N199">
        <f>YEAR(Table2[[#This Row],[Order Date]])</f>
        <v>2025</v>
      </c>
    </row>
    <row r="200" spans="1:14" x14ac:dyDescent="0.3">
      <c r="A200" t="s">
        <v>709</v>
      </c>
      <c r="B200" t="s">
        <v>489</v>
      </c>
      <c r="C200" t="s">
        <v>161</v>
      </c>
      <c r="D200" t="s">
        <v>23</v>
      </c>
      <c r="E200" t="s">
        <v>59</v>
      </c>
      <c r="F200" t="s">
        <v>50</v>
      </c>
      <c r="G200" t="s">
        <v>80</v>
      </c>
      <c r="H200" t="s">
        <v>60</v>
      </c>
      <c r="I200">
        <v>2</v>
      </c>
      <c r="J200">
        <v>2512.64</v>
      </c>
      <c r="K200">
        <v>1788.24</v>
      </c>
      <c r="L200">
        <v>724.4</v>
      </c>
      <c r="M200" s="5" t="str">
        <f>TEXT(Table2[[#This Row],[Order Date]],"mm")</f>
        <v>05</v>
      </c>
      <c r="N200">
        <f>YEAR(Table2[[#This Row],[Order Date]])</f>
        <v>2025</v>
      </c>
    </row>
    <row r="201" spans="1:14" x14ac:dyDescent="0.3">
      <c r="A201" t="s">
        <v>744</v>
      </c>
      <c r="B201" t="s">
        <v>745</v>
      </c>
      <c r="C201" t="s">
        <v>132</v>
      </c>
      <c r="D201" t="s">
        <v>48</v>
      </c>
      <c r="E201" t="s">
        <v>107</v>
      </c>
      <c r="F201" t="s">
        <v>17</v>
      </c>
      <c r="G201" t="s">
        <v>116</v>
      </c>
      <c r="H201" t="s">
        <v>27</v>
      </c>
      <c r="I201">
        <v>1</v>
      </c>
      <c r="J201">
        <v>2232.67</v>
      </c>
      <c r="K201">
        <v>1532.92</v>
      </c>
      <c r="L201">
        <v>699.75</v>
      </c>
      <c r="M201" s="5" t="str">
        <f>TEXT(Table2[[#This Row],[Order Date]],"mm")</f>
        <v>05</v>
      </c>
      <c r="N201">
        <f>YEAR(Table2[[#This Row],[Order Date]])</f>
        <v>2025</v>
      </c>
    </row>
    <row r="202" spans="1:14" x14ac:dyDescent="0.3">
      <c r="A202" t="s">
        <v>750</v>
      </c>
      <c r="B202" t="s">
        <v>751</v>
      </c>
      <c r="C202" t="s">
        <v>161</v>
      </c>
      <c r="D202" t="s">
        <v>15</v>
      </c>
      <c r="E202" t="s">
        <v>16</v>
      </c>
      <c r="F202" t="s">
        <v>50</v>
      </c>
      <c r="G202" t="s">
        <v>80</v>
      </c>
      <c r="H202" t="s">
        <v>85</v>
      </c>
      <c r="I202">
        <v>8</v>
      </c>
      <c r="J202">
        <v>7232.8</v>
      </c>
      <c r="K202">
        <v>5825.36</v>
      </c>
      <c r="L202">
        <v>1407.44</v>
      </c>
      <c r="M202" s="5" t="str">
        <f>TEXT(Table2[[#This Row],[Order Date]],"mm")</f>
        <v>05</v>
      </c>
      <c r="N202">
        <f>YEAR(Table2[[#This Row],[Order Date]])</f>
        <v>2025</v>
      </c>
    </row>
    <row r="203" spans="1:14" x14ac:dyDescent="0.3">
      <c r="A203" t="s">
        <v>803</v>
      </c>
      <c r="B203" t="s">
        <v>745</v>
      </c>
      <c r="C203" t="s">
        <v>263</v>
      </c>
      <c r="D203" t="s">
        <v>54</v>
      </c>
      <c r="E203" t="s">
        <v>98</v>
      </c>
      <c r="F203" t="s">
        <v>25</v>
      </c>
      <c r="G203" t="s">
        <v>71</v>
      </c>
      <c r="H203" t="s">
        <v>27</v>
      </c>
      <c r="I203">
        <v>8</v>
      </c>
      <c r="J203">
        <v>7195.68</v>
      </c>
      <c r="K203">
        <v>4850.3999999999996</v>
      </c>
      <c r="L203">
        <v>2345.2800000000002</v>
      </c>
      <c r="M203" s="5" t="str">
        <f>TEXT(Table2[[#This Row],[Order Date]],"mm")</f>
        <v>05</v>
      </c>
      <c r="N203">
        <f>YEAR(Table2[[#This Row],[Order Date]])</f>
        <v>2025</v>
      </c>
    </row>
    <row r="204" spans="1:14" x14ac:dyDescent="0.3">
      <c r="A204" t="s">
        <v>805</v>
      </c>
      <c r="B204" t="s">
        <v>584</v>
      </c>
      <c r="C204" t="s">
        <v>42</v>
      </c>
      <c r="D204" t="s">
        <v>15</v>
      </c>
      <c r="E204" t="s">
        <v>31</v>
      </c>
      <c r="F204" t="s">
        <v>17</v>
      </c>
      <c r="G204" t="s">
        <v>63</v>
      </c>
      <c r="H204" t="s">
        <v>27</v>
      </c>
      <c r="I204">
        <v>8</v>
      </c>
      <c r="J204">
        <v>6880.24</v>
      </c>
      <c r="K204">
        <v>4419.04</v>
      </c>
      <c r="L204">
        <v>2461.1999999999998</v>
      </c>
      <c r="M204" s="5" t="str">
        <f>TEXT(Table2[[#This Row],[Order Date]],"mm")</f>
        <v>05</v>
      </c>
      <c r="N204">
        <f>YEAR(Table2[[#This Row],[Order Date]])</f>
        <v>2025</v>
      </c>
    </row>
    <row r="205" spans="1:14" x14ac:dyDescent="0.3">
      <c r="A205" t="s">
        <v>811</v>
      </c>
      <c r="B205" t="s">
        <v>682</v>
      </c>
      <c r="C205" t="s">
        <v>132</v>
      </c>
      <c r="D205" t="s">
        <v>54</v>
      </c>
      <c r="E205" t="s">
        <v>75</v>
      </c>
      <c r="F205" t="s">
        <v>17</v>
      </c>
      <c r="G205" t="s">
        <v>76</v>
      </c>
      <c r="H205" t="s">
        <v>64</v>
      </c>
      <c r="I205">
        <v>10</v>
      </c>
      <c r="J205">
        <v>4305.8</v>
      </c>
      <c r="K205">
        <v>2780.1</v>
      </c>
      <c r="L205">
        <v>1525.7</v>
      </c>
      <c r="M205" s="5" t="str">
        <f>TEXT(Table2[[#This Row],[Order Date]],"mm")</f>
        <v>05</v>
      </c>
      <c r="N205">
        <f>YEAR(Table2[[#This Row],[Order Date]])</f>
        <v>2025</v>
      </c>
    </row>
    <row r="206" spans="1:14" x14ac:dyDescent="0.3">
      <c r="A206" t="s">
        <v>823</v>
      </c>
      <c r="B206" t="s">
        <v>667</v>
      </c>
      <c r="C206" t="s">
        <v>42</v>
      </c>
      <c r="D206" t="s">
        <v>54</v>
      </c>
      <c r="E206" t="s">
        <v>55</v>
      </c>
      <c r="F206" t="s">
        <v>25</v>
      </c>
      <c r="G206" t="s">
        <v>26</v>
      </c>
      <c r="H206" t="s">
        <v>19</v>
      </c>
      <c r="I206">
        <v>1</v>
      </c>
      <c r="J206">
        <v>2721.58</v>
      </c>
      <c r="K206">
        <v>1809.11</v>
      </c>
      <c r="L206">
        <v>912.47</v>
      </c>
      <c r="M206" s="5" t="str">
        <f>TEXT(Table2[[#This Row],[Order Date]],"mm")</f>
        <v>05</v>
      </c>
      <c r="N206">
        <f>YEAR(Table2[[#This Row],[Order Date]])</f>
        <v>2025</v>
      </c>
    </row>
    <row r="207" spans="1:14" x14ac:dyDescent="0.3">
      <c r="A207" t="s">
        <v>45</v>
      </c>
      <c r="B207" t="s">
        <v>46</v>
      </c>
      <c r="C207" t="s">
        <v>47</v>
      </c>
      <c r="D207" t="s">
        <v>48</v>
      </c>
      <c r="E207" t="s">
        <v>49</v>
      </c>
      <c r="F207" t="s">
        <v>50</v>
      </c>
      <c r="G207" t="s">
        <v>51</v>
      </c>
      <c r="H207" t="s">
        <v>39</v>
      </c>
      <c r="I207">
        <v>2</v>
      </c>
      <c r="J207">
        <v>370.38</v>
      </c>
      <c r="K207">
        <v>304.56</v>
      </c>
      <c r="L207">
        <v>65.819999999999993</v>
      </c>
      <c r="M207" s="5" t="str">
        <f>TEXT(Table2[[#This Row],[Order Date]],"mm")</f>
        <v>06</v>
      </c>
      <c r="N207">
        <f>YEAR(Table2[[#This Row],[Order Date]])</f>
        <v>2025</v>
      </c>
    </row>
    <row r="208" spans="1:14" x14ac:dyDescent="0.3">
      <c r="A208" t="s">
        <v>144</v>
      </c>
      <c r="B208" t="s">
        <v>145</v>
      </c>
      <c r="C208" t="s">
        <v>132</v>
      </c>
      <c r="D208" t="s">
        <v>23</v>
      </c>
      <c r="E208" t="s">
        <v>59</v>
      </c>
      <c r="F208" t="s">
        <v>17</v>
      </c>
      <c r="G208" t="s">
        <v>63</v>
      </c>
      <c r="H208" t="s">
        <v>39</v>
      </c>
      <c r="I208">
        <v>4</v>
      </c>
      <c r="J208">
        <v>2717.28</v>
      </c>
      <c r="K208">
        <v>1753.76</v>
      </c>
      <c r="L208">
        <v>963.52</v>
      </c>
      <c r="M208" s="5" t="str">
        <f>TEXT(Table2[[#This Row],[Order Date]],"mm")</f>
        <v>06</v>
      </c>
      <c r="N208">
        <f>YEAR(Table2[[#This Row],[Order Date]])</f>
        <v>2025</v>
      </c>
    </row>
    <row r="209" spans="1:14" x14ac:dyDescent="0.3">
      <c r="A209" t="s">
        <v>165</v>
      </c>
      <c r="B209" t="s">
        <v>166</v>
      </c>
      <c r="C209" t="s">
        <v>132</v>
      </c>
      <c r="D209" t="s">
        <v>48</v>
      </c>
      <c r="E209" t="s">
        <v>107</v>
      </c>
      <c r="F209" t="s">
        <v>50</v>
      </c>
      <c r="G209" t="s">
        <v>110</v>
      </c>
      <c r="H209" t="s">
        <v>19</v>
      </c>
      <c r="I209">
        <v>6</v>
      </c>
      <c r="J209">
        <v>11755.02</v>
      </c>
      <c r="K209">
        <v>7419.18</v>
      </c>
      <c r="L209">
        <v>4335.84</v>
      </c>
      <c r="M209" s="5" t="str">
        <f>TEXT(Table2[[#This Row],[Order Date]],"mm")</f>
        <v>06</v>
      </c>
      <c r="N209">
        <f>YEAR(Table2[[#This Row],[Order Date]])</f>
        <v>2025</v>
      </c>
    </row>
    <row r="210" spans="1:14" x14ac:dyDescent="0.3">
      <c r="A210" t="s">
        <v>264</v>
      </c>
      <c r="B210" t="s">
        <v>265</v>
      </c>
      <c r="C210" t="s">
        <v>106</v>
      </c>
      <c r="D210" t="s">
        <v>15</v>
      </c>
      <c r="E210" t="s">
        <v>31</v>
      </c>
      <c r="F210" t="s">
        <v>25</v>
      </c>
      <c r="G210" t="s">
        <v>32</v>
      </c>
      <c r="H210" t="s">
        <v>27</v>
      </c>
      <c r="I210">
        <v>8</v>
      </c>
      <c r="J210">
        <v>5601.04</v>
      </c>
      <c r="K210">
        <v>4639.76</v>
      </c>
      <c r="L210">
        <v>961.28</v>
      </c>
      <c r="M210" s="5" t="str">
        <f>TEXT(Table2[[#This Row],[Order Date]],"mm")</f>
        <v>06</v>
      </c>
      <c r="N210">
        <f>YEAR(Table2[[#This Row],[Order Date]])</f>
        <v>2025</v>
      </c>
    </row>
    <row r="211" spans="1:14" x14ac:dyDescent="0.3">
      <c r="A211" t="s">
        <v>277</v>
      </c>
      <c r="B211" t="s">
        <v>278</v>
      </c>
      <c r="C211" t="s">
        <v>106</v>
      </c>
      <c r="D211" t="s">
        <v>48</v>
      </c>
      <c r="E211" t="s">
        <v>107</v>
      </c>
      <c r="F211" t="s">
        <v>17</v>
      </c>
      <c r="G211" t="s">
        <v>38</v>
      </c>
      <c r="H211" t="s">
        <v>33</v>
      </c>
      <c r="I211">
        <v>4</v>
      </c>
      <c r="J211">
        <v>3924.72</v>
      </c>
      <c r="K211">
        <v>2833.32</v>
      </c>
      <c r="L211">
        <v>1091.4000000000001</v>
      </c>
      <c r="M211" s="5" t="str">
        <f>TEXT(Table2[[#This Row],[Order Date]],"mm")</f>
        <v>06</v>
      </c>
      <c r="N211">
        <f>YEAR(Table2[[#This Row],[Order Date]])</f>
        <v>2025</v>
      </c>
    </row>
    <row r="212" spans="1:14" x14ac:dyDescent="0.3">
      <c r="A212" t="s">
        <v>279</v>
      </c>
      <c r="B212" t="s">
        <v>280</v>
      </c>
      <c r="C212" t="s">
        <v>106</v>
      </c>
      <c r="D212" t="s">
        <v>54</v>
      </c>
      <c r="E212" t="s">
        <v>55</v>
      </c>
      <c r="F212" t="s">
        <v>25</v>
      </c>
      <c r="G212" t="s">
        <v>158</v>
      </c>
      <c r="H212" t="s">
        <v>33</v>
      </c>
      <c r="I212">
        <v>1</v>
      </c>
      <c r="J212">
        <v>2085.11</v>
      </c>
      <c r="K212">
        <v>1503.37</v>
      </c>
      <c r="L212">
        <v>581.74</v>
      </c>
      <c r="M212" s="5" t="str">
        <f>TEXT(Table2[[#This Row],[Order Date]],"mm")</f>
        <v>06</v>
      </c>
      <c r="N212">
        <f>YEAR(Table2[[#This Row],[Order Date]])</f>
        <v>2025</v>
      </c>
    </row>
    <row r="213" spans="1:14" x14ac:dyDescent="0.3">
      <c r="A213" t="s">
        <v>292</v>
      </c>
      <c r="B213" t="s">
        <v>293</v>
      </c>
      <c r="C213" t="s">
        <v>83</v>
      </c>
      <c r="D213" t="s">
        <v>48</v>
      </c>
      <c r="E213" t="s">
        <v>49</v>
      </c>
      <c r="F213" t="s">
        <v>25</v>
      </c>
      <c r="G213" t="s">
        <v>32</v>
      </c>
      <c r="H213" t="s">
        <v>60</v>
      </c>
      <c r="I213">
        <v>8</v>
      </c>
      <c r="J213">
        <v>6085.52</v>
      </c>
      <c r="K213">
        <v>4757.28</v>
      </c>
      <c r="L213">
        <v>1328.24</v>
      </c>
      <c r="M213" s="5" t="str">
        <f>TEXT(Table2[[#This Row],[Order Date]],"mm")</f>
        <v>06</v>
      </c>
      <c r="N213">
        <f>YEAR(Table2[[#This Row],[Order Date]])</f>
        <v>2025</v>
      </c>
    </row>
    <row r="214" spans="1:14" x14ac:dyDescent="0.3">
      <c r="A214" t="s">
        <v>301</v>
      </c>
      <c r="B214" t="s">
        <v>265</v>
      </c>
      <c r="C214" t="s">
        <v>206</v>
      </c>
      <c r="D214" t="s">
        <v>48</v>
      </c>
      <c r="E214" t="s">
        <v>67</v>
      </c>
      <c r="F214" t="s">
        <v>17</v>
      </c>
      <c r="G214" t="s">
        <v>63</v>
      </c>
      <c r="H214" t="s">
        <v>44</v>
      </c>
      <c r="I214">
        <v>1</v>
      </c>
      <c r="J214">
        <v>2738.4</v>
      </c>
      <c r="K214">
        <v>1782.26</v>
      </c>
      <c r="L214">
        <v>956.14</v>
      </c>
      <c r="M214" s="5" t="str">
        <f>TEXT(Table2[[#This Row],[Order Date]],"mm")</f>
        <v>06</v>
      </c>
      <c r="N214">
        <f>YEAR(Table2[[#This Row],[Order Date]])</f>
        <v>2025</v>
      </c>
    </row>
    <row r="215" spans="1:14" x14ac:dyDescent="0.3">
      <c r="A215" t="s">
        <v>306</v>
      </c>
      <c r="B215" t="s">
        <v>307</v>
      </c>
      <c r="C215" t="s">
        <v>14</v>
      </c>
      <c r="D215" t="s">
        <v>23</v>
      </c>
      <c r="E215" t="s">
        <v>37</v>
      </c>
      <c r="F215" t="s">
        <v>17</v>
      </c>
      <c r="G215" t="s">
        <v>18</v>
      </c>
      <c r="H215" t="s">
        <v>85</v>
      </c>
      <c r="I215">
        <v>9</v>
      </c>
      <c r="J215">
        <v>12036.06</v>
      </c>
      <c r="K215">
        <v>7569.27</v>
      </c>
      <c r="L215">
        <v>4466.79</v>
      </c>
      <c r="M215" s="5" t="str">
        <f>TEXT(Table2[[#This Row],[Order Date]],"mm")</f>
        <v>06</v>
      </c>
      <c r="N215">
        <f>YEAR(Table2[[#This Row],[Order Date]])</f>
        <v>2025</v>
      </c>
    </row>
    <row r="216" spans="1:14" x14ac:dyDescent="0.3">
      <c r="A216" t="s">
        <v>322</v>
      </c>
      <c r="B216" t="s">
        <v>323</v>
      </c>
      <c r="C216" t="s">
        <v>36</v>
      </c>
      <c r="D216" t="s">
        <v>15</v>
      </c>
      <c r="E216" t="s">
        <v>31</v>
      </c>
      <c r="F216" t="s">
        <v>25</v>
      </c>
      <c r="G216" t="s">
        <v>158</v>
      </c>
      <c r="H216" t="s">
        <v>60</v>
      </c>
      <c r="I216">
        <v>1</v>
      </c>
      <c r="J216">
        <v>2613.1999999999998</v>
      </c>
      <c r="K216">
        <v>1974.51</v>
      </c>
      <c r="L216">
        <v>638.69000000000005</v>
      </c>
      <c r="M216" s="5" t="str">
        <f>TEXT(Table2[[#This Row],[Order Date]],"mm")</f>
        <v>06</v>
      </c>
      <c r="N216">
        <f>YEAR(Table2[[#This Row],[Order Date]])</f>
        <v>2025</v>
      </c>
    </row>
    <row r="217" spans="1:14" x14ac:dyDescent="0.3">
      <c r="A217" t="s">
        <v>328</v>
      </c>
      <c r="B217" t="s">
        <v>329</v>
      </c>
      <c r="C217" t="s">
        <v>106</v>
      </c>
      <c r="D217" t="s">
        <v>54</v>
      </c>
      <c r="E217" t="s">
        <v>133</v>
      </c>
      <c r="F217" t="s">
        <v>50</v>
      </c>
      <c r="G217" t="s">
        <v>51</v>
      </c>
      <c r="H217" t="s">
        <v>39</v>
      </c>
      <c r="I217">
        <v>10</v>
      </c>
      <c r="J217">
        <v>13598.2</v>
      </c>
      <c r="K217">
        <v>9037.7999999999993</v>
      </c>
      <c r="L217">
        <v>4560.3999999999996</v>
      </c>
      <c r="M217" s="5" t="str">
        <f>TEXT(Table2[[#This Row],[Order Date]],"mm")</f>
        <v>06</v>
      </c>
      <c r="N217">
        <f>YEAR(Table2[[#This Row],[Order Date]])</f>
        <v>2025</v>
      </c>
    </row>
    <row r="218" spans="1:14" x14ac:dyDescent="0.3">
      <c r="A218" t="s">
        <v>367</v>
      </c>
      <c r="B218" t="s">
        <v>166</v>
      </c>
      <c r="C218" t="s">
        <v>42</v>
      </c>
      <c r="D218" t="s">
        <v>54</v>
      </c>
      <c r="E218" t="s">
        <v>55</v>
      </c>
      <c r="F218" t="s">
        <v>25</v>
      </c>
      <c r="G218" t="s">
        <v>32</v>
      </c>
      <c r="H218" t="s">
        <v>64</v>
      </c>
      <c r="I218">
        <v>4</v>
      </c>
      <c r="J218">
        <v>5038.76</v>
      </c>
      <c r="K218">
        <v>4014.84</v>
      </c>
      <c r="L218">
        <v>1023.92</v>
      </c>
      <c r="M218" s="5" t="str">
        <f>TEXT(Table2[[#This Row],[Order Date]],"mm")</f>
        <v>06</v>
      </c>
      <c r="N218">
        <f>YEAR(Table2[[#This Row],[Order Date]])</f>
        <v>2025</v>
      </c>
    </row>
    <row r="219" spans="1:14" x14ac:dyDescent="0.3">
      <c r="A219" t="s">
        <v>370</v>
      </c>
      <c r="B219" t="s">
        <v>371</v>
      </c>
      <c r="C219" t="s">
        <v>30</v>
      </c>
      <c r="D219" t="s">
        <v>54</v>
      </c>
      <c r="E219" t="s">
        <v>55</v>
      </c>
      <c r="F219" t="s">
        <v>25</v>
      </c>
      <c r="G219" t="s">
        <v>56</v>
      </c>
      <c r="H219" t="s">
        <v>33</v>
      </c>
      <c r="I219">
        <v>5</v>
      </c>
      <c r="J219">
        <v>3088.75</v>
      </c>
      <c r="K219">
        <v>2448.65</v>
      </c>
      <c r="L219">
        <v>640.1</v>
      </c>
      <c r="M219" s="5" t="str">
        <f>TEXT(Table2[[#This Row],[Order Date]],"mm")</f>
        <v>06</v>
      </c>
      <c r="N219">
        <f>YEAR(Table2[[#This Row],[Order Date]])</f>
        <v>2025</v>
      </c>
    </row>
    <row r="220" spans="1:14" x14ac:dyDescent="0.3">
      <c r="A220" t="s">
        <v>456</v>
      </c>
      <c r="B220" t="s">
        <v>371</v>
      </c>
      <c r="C220" t="s">
        <v>161</v>
      </c>
      <c r="D220" t="s">
        <v>15</v>
      </c>
      <c r="E220" t="s">
        <v>16</v>
      </c>
      <c r="F220" t="s">
        <v>17</v>
      </c>
      <c r="G220" t="s">
        <v>18</v>
      </c>
      <c r="H220" t="s">
        <v>64</v>
      </c>
      <c r="I220">
        <v>8</v>
      </c>
      <c r="J220">
        <v>19601.28</v>
      </c>
      <c r="K220">
        <v>12550.72</v>
      </c>
      <c r="L220">
        <v>7050.56</v>
      </c>
      <c r="M220" s="5" t="str">
        <f>TEXT(Table2[[#This Row],[Order Date]],"mm")</f>
        <v>06</v>
      </c>
      <c r="N220">
        <f>YEAR(Table2[[#This Row],[Order Date]])</f>
        <v>2025</v>
      </c>
    </row>
    <row r="221" spans="1:14" x14ac:dyDescent="0.3">
      <c r="A221" t="s">
        <v>473</v>
      </c>
      <c r="B221" t="s">
        <v>46</v>
      </c>
      <c r="C221" t="s">
        <v>79</v>
      </c>
      <c r="D221" t="s">
        <v>48</v>
      </c>
      <c r="E221" t="s">
        <v>107</v>
      </c>
      <c r="F221" t="s">
        <v>17</v>
      </c>
      <c r="G221" t="s">
        <v>18</v>
      </c>
      <c r="H221" t="s">
        <v>39</v>
      </c>
      <c r="I221">
        <v>8</v>
      </c>
      <c r="J221">
        <v>9214.7999999999993</v>
      </c>
      <c r="K221">
        <v>7733.52</v>
      </c>
      <c r="L221">
        <v>1481.28</v>
      </c>
      <c r="M221" s="5" t="str">
        <f>TEXT(Table2[[#This Row],[Order Date]],"mm")</f>
        <v>06</v>
      </c>
      <c r="N221">
        <f>YEAR(Table2[[#This Row],[Order Date]])</f>
        <v>2025</v>
      </c>
    </row>
    <row r="222" spans="1:14" x14ac:dyDescent="0.3">
      <c r="A222" t="s">
        <v>509</v>
      </c>
      <c r="B222" t="s">
        <v>510</v>
      </c>
      <c r="C222" t="s">
        <v>79</v>
      </c>
      <c r="D222" t="s">
        <v>23</v>
      </c>
      <c r="E222" t="s">
        <v>24</v>
      </c>
      <c r="F222" t="s">
        <v>50</v>
      </c>
      <c r="G222" t="s">
        <v>51</v>
      </c>
      <c r="H222" t="s">
        <v>44</v>
      </c>
      <c r="I222">
        <v>3</v>
      </c>
      <c r="J222">
        <v>7216.35</v>
      </c>
      <c r="K222">
        <v>5209.38</v>
      </c>
      <c r="L222">
        <v>2006.97</v>
      </c>
      <c r="M222" s="5" t="str">
        <f>TEXT(Table2[[#This Row],[Order Date]],"mm")</f>
        <v>06</v>
      </c>
      <c r="N222">
        <f>YEAR(Table2[[#This Row],[Order Date]])</f>
        <v>2025</v>
      </c>
    </row>
    <row r="223" spans="1:14" x14ac:dyDescent="0.3">
      <c r="A223" t="s">
        <v>512</v>
      </c>
      <c r="B223" t="s">
        <v>513</v>
      </c>
      <c r="C223" t="s">
        <v>42</v>
      </c>
      <c r="D223" t="s">
        <v>48</v>
      </c>
      <c r="E223" t="s">
        <v>84</v>
      </c>
      <c r="F223" t="s">
        <v>17</v>
      </c>
      <c r="G223" t="s">
        <v>63</v>
      </c>
      <c r="H223" t="s">
        <v>27</v>
      </c>
      <c r="I223">
        <v>3</v>
      </c>
      <c r="J223">
        <v>6595.17</v>
      </c>
      <c r="K223">
        <v>4608.57</v>
      </c>
      <c r="L223">
        <v>1986.6</v>
      </c>
      <c r="M223" s="5" t="str">
        <f>TEXT(Table2[[#This Row],[Order Date]],"mm")</f>
        <v>06</v>
      </c>
      <c r="N223">
        <f>YEAR(Table2[[#This Row],[Order Date]])</f>
        <v>2025</v>
      </c>
    </row>
    <row r="224" spans="1:14" x14ac:dyDescent="0.3">
      <c r="A224" t="s">
        <v>521</v>
      </c>
      <c r="B224" t="s">
        <v>323</v>
      </c>
      <c r="C224" t="s">
        <v>103</v>
      </c>
      <c r="D224" t="s">
        <v>15</v>
      </c>
      <c r="E224" t="s">
        <v>183</v>
      </c>
      <c r="F224" t="s">
        <v>17</v>
      </c>
      <c r="G224" t="s">
        <v>116</v>
      </c>
      <c r="H224" t="s">
        <v>33</v>
      </c>
      <c r="I224">
        <v>4</v>
      </c>
      <c r="J224">
        <v>3224.4</v>
      </c>
      <c r="K224">
        <v>2451.36</v>
      </c>
      <c r="L224">
        <v>773.04</v>
      </c>
      <c r="M224" s="5" t="str">
        <f>TEXT(Table2[[#This Row],[Order Date]],"mm")</f>
        <v>06</v>
      </c>
      <c r="N224">
        <f>YEAR(Table2[[#This Row],[Order Date]])</f>
        <v>2025</v>
      </c>
    </row>
    <row r="225" spans="1:14" x14ac:dyDescent="0.3">
      <c r="A225" t="s">
        <v>543</v>
      </c>
      <c r="B225" t="s">
        <v>544</v>
      </c>
      <c r="C225" t="s">
        <v>132</v>
      </c>
      <c r="D225" t="s">
        <v>23</v>
      </c>
      <c r="E225" t="s">
        <v>37</v>
      </c>
      <c r="F225" t="s">
        <v>50</v>
      </c>
      <c r="G225" t="s">
        <v>134</v>
      </c>
      <c r="H225" t="s">
        <v>85</v>
      </c>
      <c r="I225">
        <v>3</v>
      </c>
      <c r="J225">
        <v>8032.5</v>
      </c>
      <c r="K225">
        <v>5160.8100000000004</v>
      </c>
      <c r="L225">
        <v>2871.69</v>
      </c>
      <c r="M225" s="5" t="str">
        <f>TEXT(Table2[[#This Row],[Order Date]],"mm")</f>
        <v>06</v>
      </c>
      <c r="N225">
        <f>YEAR(Table2[[#This Row],[Order Date]])</f>
        <v>2025</v>
      </c>
    </row>
    <row r="226" spans="1:14" x14ac:dyDescent="0.3">
      <c r="A226" t="s">
        <v>571</v>
      </c>
      <c r="B226" t="s">
        <v>293</v>
      </c>
      <c r="C226" t="s">
        <v>143</v>
      </c>
      <c r="D226" t="s">
        <v>48</v>
      </c>
      <c r="E226" t="s">
        <v>107</v>
      </c>
      <c r="F226" t="s">
        <v>17</v>
      </c>
      <c r="G226" t="s">
        <v>76</v>
      </c>
      <c r="H226" t="s">
        <v>85</v>
      </c>
      <c r="I226">
        <v>3</v>
      </c>
      <c r="J226">
        <v>3707.34</v>
      </c>
      <c r="K226">
        <v>3137.73</v>
      </c>
      <c r="L226">
        <v>569.61</v>
      </c>
      <c r="M226" s="5" t="str">
        <f>TEXT(Table2[[#This Row],[Order Date]],"mm")</f>
        <v>06</v>
      </c>
      <c r="N226">
        <f>YEAR(Table2[[#This Row],[Order Date]])</f>
        <v>2025</v>
      </c>
    </row>
    <row r="227" spans="1:14" x14ac:dyDescent="0.3">
      <c r="A227" t="s">
        <v>607</v>
      </c>
      <c r="B227" t="s">
        <v>513</v>
      </c>
      <c r="C227" t="s">
        <v>14</v>
      </c>
      <c r="D227" t="s">
        <v>54</v>
      </c>
      <c r="E227" t="s">
        <v>98</v>
      </c>
      <c r="F227" t="s">
        <v>17</v>
      </c>
      <c r="G227" t="s">
        <v>18</v>
      </c>
      <c r="H227" t="s">
        <v>60</v>
      </c>
      <c r="I227">
        <v>3</v>
      </c>
      <c r="J227">
        <v>539.52</v>
      </c>
      <c r="K227">
        <v>396.42</v>
      </c>
      <c r="L227">
        <v>143.1</v>
      </c>
      <c r="M227" s="5" t="str">
        <f>TEXT(Table2[[#This Row],[Order Date]],"mm")</f>
        <v>06</v>
      </c>
      <c r="N227">
        <f>YEAR(Table2[[#This Row],[Order Date]])</f>
        <v>2025</v>
      </c>
    </row>
    <row r="228" spans="1:14" x14ac:dyDescent="0.3">
      <c r="A228" t="s">
        <v>609</v>
      </c>
      <c r="B228" t="s">
        <v>610</v>
      </c>
      <c r="C228" t="s">
        <v>94</v>
      </c>
      <c r="D228" t="s">
        <v>15</v>
      </c>
      <c r="E228" t="s">
        <v>183</v>
      </c>
      <c r="F228" t="s">
        <v>25</v>
      </c>
      <c r="G228" t="s">
        <v>71</v>
      </c>
      <c r="H228" t="s">
        <v>60</v>
      </c>
      <c r="I228">
        <v>5</v>
      </c>
      <c r="J228">
        <v>5894.75</v>
      </c>
      <c r="K228">
        <v>4107.6000000000004</v>
      </c>
      <c r="L228">
        <v>1787.15</v>
      </c>
      <c r="M228" s="5" t="str">
        <f>TEXT(Table2[[#This Row],[Order Date]],"mm")</f>
        <v>06</v>
      </c>
      <c r="N228">
        <f>YEAR(Table2[[#This Row],[Order Date]])</f>
        <v>2025</v>
      </c>
    </row>
    <row r="229" spans="1:14" x14ac:dyDescent="0.3">
      <c r="A229" t="s">
        <v>618</v>
      </c>
      <c r="B229" t="s">
        <v>280</v>
      </c>
      <c r="C229" t="s">
        <v>335</v>
      </c>
      <c r="D229" t="s">
        <v>54</v>
      </c>
      <c r="E229" t="s">
        <v>55</v>
      </c>
      <c r="F229" t="s">
        <v>17</v>
      </c>
      <c r="G229" t="s">
        <v>38</v>
      </c>
      <c r="H229" t="s">
        <v>85</v>
      </c>
      <c r="I229">
        <v>4</v>
      </c>
      <c r="J229">
        <v>3995.76</v>
      </c>
      <c r="K229">
        <v>2575.7600000000002</v>
      </c>
      <c r="L229">
        <v>1420</v>
      </c>
      <c r="M229" s="5" t="str">
        <f>TEXT(Table2[[#This Row],[Order Date]],"mm")</f>
        <v>06</v>
      </c>
      <c r="N229">
        <f>YEAR(Table2[[#This Row],[Order Date]])</f>
        <v>2025</v>
      </c>
    </row>
    <row r="230" spans="1:14" x14ac:dyDescent="0.3">
      <c r="A230" t="s">
        <v>622</v>
      </c>
      <c r="B230" t="s">
        <v>623</v>
      </c>
      <c r="C230" t="s">
        <v>161</v>
      </c>
      <c r="D230" t="s">
        <v>23</v>
      </c>
      <c r="E230" t="s">
        <v>43</v>
      </c>
      <c r="F230" t="s">
        <v>50</v>
      </c>
      <c r="G230" t="s">
        <v>110</v>
      </c>
      <c r="H230" t="s">
        <v>27</v>
      </c>
      <c r="I230">
        <v>5</v>
      </c>
      <c r="J230">
        <v>5116.1000000000004</v>
      </c>
      <c r="K230">
        <v>3422.2</v>
      </c>
      <c r="L230">
        <v>1693.9</v>
      </c>
      <c r="M230" s="5" t="str">
        <f>TEXT(Table2[[#This Row],[Order Date]],"mm")</f>
        <v>06</v>
      </c>
      <c r="N230">
        <f>YEAR(Table2[[#This Row],[Order Date]])</f>
        <v>2025</v>
      </c>
    </row>
    <row r="231" spans="1:14" x14ac:dyDescent="0.3">
      <c r="A231" t="s">
        <v>635</v>
      </c>
      <c r="B231" t="s">
        <v>329</v>
      </c>
      <c r="C231" t="s">
        <v>42</v>
      </c>
      <c r="D231" t="s">
        <v>23</v>
      </c>
      <c r="E231" t="s">
        <v>37</v>
      </c>
      <c r="F231" t="s">
        <v>25</v>
      </c>
      <c r="G231" t="s">
        <v>56</v>
      </c>
      <c r="H231" t="s">
        <v>60</v>
      </c>
      <c r="I231">
        <v>4</v>
      </c>
      <c r="J231">
        <v>3491.08</v>
      </c>
      <c r="K231">
        <v>2435.16</v>
      </c>
      <c r="L231">
        <v>1055.92</v>
      </c>
      <c r="M231" s="5" t="str">
        <f>TEXT(Table2[[#This Row],[Order Date]],"mm")</f>
        <v>06</v>
      </c>
      <c r="N231">
        <f>YEAR(Table2[[#This Row],[Order Date]])</f>
        <v>2025</v>
      </c>
    </row>
    <row r="232" spans="1:14" x14ac:dyDescent="0.3">
      <c r="A232" t="s">
        <v>642</v>
      </c>
      <c r="B232" t="s">
        <v>610</v>
      </c>
      <c r="C232" t="s">
        <v>143</v>
      </c>
      <c r="D232" t="s">
        <v>15</v>
      </c>
      <c r="E232" t="s">
        <v>16</v>
      </c>
      <c r="F232" t="s">
        <v>25</v>
      </c>
      <c r="G232" t="s">
        <v>158</v>
      </c>
      <c r="H232" t="s">
        <v>60</v>
      </c>
      <c r="I232">
        <v>7</v>
      </c>
      <c r="J232">
        <v>10609.06</v>
      </c>
      <c r="K232">
        <v>8578.36</v>
      </c>
      <c r="L232">
        <v>2030.7</v>
      </c>
      <c r="M232" s="5" t="str">
        <f>TEXT(Table2[[#This Row],[Order Date]],"mm")</f>
        <v>06</v>
      </c>
      <c r="N232">
        <f>YEAR(Table2[[#This Row],[Order Date]])</f>
        <v>2025</v>
      </c>
    </row>
    <row r="233" spans="1:14" x14ac:dyDescent="0.3">
      <c r="A233" t="s">
        <v>661</v>
      </c>
      <c r="B233" t="s">
        <v>662</v>
      </c>
      <c r="C233" t="s">
        <v>74</v>
      </c>
      <c r="D233" t="s">
        <v>48</v>
      </c>
      <c r="E233" t="s">
        <v>107</v>
      </c>
      <c r="F233" t="s">
        <v>25</v>
      </c>
      <c r="G233" t="s">
        <v>32</v>
      </c>
      <c r="H233" t="s">
        <v>60</v>
      </c>
      <c r="I233">
        <v>10</v>
      </c>
      <c r="J233">
        <v>7472.1</v>
      </c>
      <c r="K233">
        <v>5053.8</v>
      </c>
      <c r="L233">
        <v>2418.3000000000002</v>
      </c>
      <c r="M233" s="5" t="str">
        <f>TEXT(Table2[[#This Row],[Order Date]],"mm")</f>
        <v>06</v>
      </c>
      <c r="N233">
        <f>YEAR(Table2[[#This Row],[Order Date]])</f>
        <v>2025</v>
      </c>
    </row>
    <row r="234" spans="1:14" x14ac:dyDescent="0.3">
      <c r="A234" t="s">
        <v>671</v>
      </c>
      <c r="B234" t="s">
        <v>672</v>
      </c>
      <c r="C234" t="s">
        <v>132</v>
      </c>
      <c r="D234" t="s">
        <v>15</v>
      </c>
      <c r="E234" t="s">
        <v>183</v>
      </c>
      <c r="F234" t="s">
        <v>25</v>
      </c>
      <c r="G234" t="s">
        <v>71</v>
      </c>
      <c r="H234" t="s">
        <v>39</v>
      </c>
      <c r="I234">
        <v>10</v>
      </c>
      <c r="J234">
        <v>4692.7</v>
      </c>
      <c r="K234">
        <v>3541.6</v>
      </c>
      <c r="L234">
        <v>1151.0999999999999</v>
      </c>
      <c r="M234" s="5" t="str">
        <f>TEXT(Table2[[#This Row],[Order Date]],"mm")</f>
        <v>06</v>
      </c>
      <c r="N234">
        <f>YEAR(Table2[[#This Row],[Order Date]])</f>
        <v>2025</v>
      </c>
    </row>
    <row r="235" spans="1:14" x14ac:dyDescent="0.3">
      <c r="A235" t="s">
        <v>688</v>
      </c>
      <c r="B235" t="s">
        <v>278</v>
      </c>
      <c r="C235" t="s">
        <v>143</v>
      </c>
      <c r="D235" t="s">
        <v>15</v>
      </c>
      <c r="E235" t="s">
        <v>89</v>
      </c>
      <c r="F235" t="s">
        <v>17</v>
      </c>
      <c r="G235" t="s">
        <v>76</v>
      </c>
      <c r="H235" t="s">
        <v>33</v>
      </c>
      <c r="I235">
        <v>5</v>
      </c>
      <c r="J235">
        <v>10315.15</v>
      </c>
      <c r="K235">
        <v>7689.35</v>
      </c>
      <c r="L235">
        <v>2625.8</v>
      </c>
      <c r="M235" s="5" t="str">
        <f>TEXT(Table2[[#This Row],[Order Date]],"mm")</f>
        <v>06</v>
      </c>
      <c r="N235">
        <f>YEAR(Table2[[#This Row],[Order Date]])</f>
        <v>2025</v>
      </c>
    </row>
    <row r="236" spans="1:14" x14ac:dyDescent="0.3">
      <c r="A236" t="s">
        <v>692</v>
      </c>
      <c r="B236" t="s">
        <v>145</v>
      </c>
      <c r="C236" t="s">
        <v>42</v>
      </c>
      <c r="D236" t="s">
        <v>23</v>
      </c>
      <c r="E236" t="s">
        <v>59</v>
      </c>
      <c r="F236" t="s">
        <v>17</v>
      </c>
      <c r="G236" t="s">
        <v>76</v>
      </c>
      <c r="H236" t="s">
        <v>39</v>
      </c>
      <c r="I236">
        <v>6</v>
      </c>
      <c r="J236">
        <v>12820.56</v>
      </c>
      <c r="K236">
        <v>9219.9599999999991</v>
      </c>
      <c r="L236">
        <v>3600.6</v>
      </c>
      <c r="M236" s="5" t="str">
        <f>TEXT(Table2[[#This Row],[Order Date]],"mm")</f>
        <v>06</v>
      </c>
      <c r="N236">
        <f>YEAR(Table2[[#This Row],[Order Date]])</f>
        <v>2025</v>
      </c>
    </row>
    <row r="237" spans="1:14" x14ac:dyDescent="0.3">
      <c r="A237" t="s">
        <v>697</v>
      </c>
      <c r="B237" t="s">
        <v>265</v>
      </c>
      <c r="C237" t="s">
        <v>14</v>
      </c>
      <c r="D237" t="s">
        <v>23</v>
      </c>
      <c r="E237" t="s">
        <v>43</v>
      </c>
      <c r="F237" t="s">
        <v>50</v>
      </c>
      <c r="G237" t="s">
        <v>95</v>
      </c>
      <c r="H237" t="s">
        <v>33</v>
      </c>
      <c r="I237">
        <v>9</v>
      </c>
      <c r="J237">
        <v>11853.63</v>
      </c>
      <c r="K237">
        <v>9349.4699999999993</v>
      </c>
      <c r="L237">
        <v>2504.16</v>
      </c>
      <c r="M237" s="5" t="str">
        <f>TEXT(Table2[[#This Row],[Order Date]],"mm")</f>
        <v>06</v>
      </c>
      <c r="N237">
        <f>YEAR(Table2[[#This Row],[Order Date]])</f>
        <v>2025</v>
      </c>
    </row>
    <row r="238" spans="1:14" x14ac:dyDescent="0.3">
      <c r="A238" t="s">
        <v>698</v>
      </c>
      <c r="B238" t="s">
        <v>510</v>
      </c>
      <c r="C238" t="s">
        <v>103</v>
      </c>
      <c r="D238" t="s">
        <v>48</v>
      </c>
      <c r="E238" t="s">
        <v>84</v>
      </c>
      <c r="F238" t="s">
        <v>17</v>
      </c>
      <c r="G238" t="s">
        <v>63</v>
      </c>
      <c r="H238" t="s">
        <v>85</v>
      </c>
      <c r="I238">
        <v>9</v>
      </c>
      <c r="J238">
        <v>10897.2</v>
      </c>
      <c r="K238">
        <v>8711.82</v>
      </c>
      <c r="L238">
        <v>2185.38</v>
      </c>
      <c r="M238" s="5" t="str">
        <f>TEXT(Table2[[#This Row],[Order Date]],"mm")</f>
        <v>06</v>
      </c>
      <c r="N238">
        <f>YEAR(Table2[[#This Row],[Order Date]])</f>
        <v>2025</v>
      </c>
    </row>
    <row r="239" spans="1:14" x14ac:dyDescent="0.3">
      <c r="A239" t="s">
        <v>721</v>
      </c>
      <c r="B239" t="s">
        <v>265</v>
      </c>
      <c r="C239" t="s">
        <v>36</v>
      </c>
      <c r="D239" t="s">
        <v>54</v>
      </c>
      <c r="E239" t="s">
        <v>133</v>
      </c>
      <c r="F239" t="s">
        <v>50</v>
      </c>
      <c r="G239" t="s">
        <v>51</v>
      </c>
      <c r="H239" t="s">
        <v>33</v>
      </c>
      <c r="I239">
        <v>10</v>
      </c>
      <c r="J239">
        <v>19473.099999999999</v>
      </c>
      <c r="K239">
        <v>13505.2</v>
      </c>
      <c r="L239">
        <v>5967.9</v>
      </c>
      <c r="M239" s="5" t="str">
        <f>TEXT(Table2[[#This Row],[Order Date]],"mm")</f>
        <v>06</v>
      </c>
      <c r="N239">
        <f>YEAR(Table2[[#This Row],[Order Date]])</f>
        <v>2025</v>
      </c>
    </row>
    <row r="240" spans="1:14" x14ac:dyDescent="0.3">
      <c r="A240" t="s">
        <v>733</v>
      </c>
      <c r="B240" t="s">
        <v>734</v>
      </c>
      <c r="C240" t="s">
        <v>106</v>
      </c>
      <c r="D240" t="s">
        <v>48</v>
      </c>
      <c r="E240" t="s">
        <v>67</v>
      </c>
      <c r="F240" t="s">
        <v>50</v>
      </c>
      <c r="G240" t="s">
        <v>95</v>
      </c>
      <c r="H240" t="s">
        <v>44</v>
      </c>
      <c r="I240">
        <v>5</v>
      </c>
      <c r="J240">
        <v>11838.4</v>
      </c>
      <c r="K240">
        <v>7603.65</v>
      </c>
      <c r="L240">
        <v>4234.75</v>
      </c>
      <c r="M240" s="5" t="str">
        <f>TEXT(Table2[[#This Row],[Order Date]],"mm")</f>
        <v>06</v>
      </c>
      <c r="N240">
        <f>YEAR(Table2[[#This Row],[Order Date]])</f>
        <v>2025</v>
      </c>
    </row>
    <row r="241" spans="1:14" x14ac:dyDescent="0.3">
      <c r="A241" t="s">
        <v>737</v>
      </c>
      <c r="B241" t="s">
        <v>265</v>
      </c>
      <c r="C241" t="s">
        <v>161</v>
      </c>
      <c r="D241" t="s">
        <v>23</v>
      </c>
      <c r="E241" t="s">
        <v>43</v>
      </c>
      <c r="F241" t="s">
        <v>50</v>
      </c>
      <c r="G241" t="s">
        <v>51</v>
      </c>
      <c r="H241" t="s">
        <v>27</v>
      </c>
      <c r="I241">
        <v>9</v>
      </c>
      <c r="J241">
        <v>21429.09</v>
      </c>
      <c r="K241">
        <v>15789.06</v>
      </c>
      <c r="L241">
        <v>5640.03</v>
      </c>
      <c r="M241" s="5" t="str">
        <f>TEXT(Table2[[#This Row],[Order Date]],"mm")</f>
        <v>06</v>
      </c>
      <c r="N241">
        <f>YEAR(Table2[[#This Row],[Order Date]])</f>
        <v>2025</v>
      </c>
    </row>
    <row r="242" spans="1:14" x14ac:dyDescent="0.3">
      <c r="A242" t="s">
        <v>753</v>
      </c>
      <c r="B242" t="s">
        <v>754</v>
      </c>
      <c r="C242" t="s">
        <v>161</v>
      </c>
      <c r="D242" t="s">
        <v>23</v>
      </c>
      <c r="E242" t="s">
        <v>59</v>
      </c>
      <c r="F242" t="s">
        <v>50</v>
      </c>
      <c r="G242" t="s">
        <v>51</v>
      </c>
      <c r="H242" t="s">
        <v>19</v>
      </c>
      <c r="I242">
        <v>4</v>
      </c>
      <c r="J242">
        <v>4494.8</v>
      </c>
      <c r="K242">
        <v>3538.64</v>
      </c>
      <c r="L242">
        <v>956.16</v>
      </c>
      <c r="M242" s="5" t="str">
        <f>TEXT(Table2[[#This Row],[Order Date]],"mm")</f>
        <v>06</v>
      </c>
      <c r="N242">
        <f>YEAR(Table2[[#This Row],[Order Date]])</f>
        <v>2025</v>
      </c>
    </row>
    <row r="243" spans="1:14" x14ac:dyDescent="0.3">
      <c r="A243" t="s">
        <v>755</v>
      </c>
      <c r="B243" t="s">
        <v>610</v>
      </c>
      <c r="C243" t="s">
        <v>47</v>
      </c>
      <c r="D243" t="s">
        <v>15</v>
      </c>
      <c r="E243" t="s">
        <v>16</v>
      </c>
      <c r="F243" t="s">
        <v>17</v>
      </c>
      <c r="G243" t="s">
        <v>63</v>
      </c>
      <c r="H243" t="s">
        <v>27</v>
      </c>
      <c r="I243">
        <v>4</v>
      </c>
      <c r="J243">
        <v>1610.28</v>
      </c>
      <c r="K243">
        <v>1067.4000000000001</v>
      </c>
      <c r="L243">
        <v>542.88</v>
      </c>
      <c r="M243" s="5" t="str">
        <f>TEXT(Table2[[#This Row],[Order Date]],"mm")</f>
        <v>06</v>
      </c>
      <c r="N243">
        <f>YEAR(Table2[[#This Row],[Order Date]])</f>
        <v>2025</v>
      </c>
    </row>
    <row r="244" spans="1:14" x14ac:dyDescent="0.3">
      <c r="A244" t="s">
        <v>790</v>
      </c>
      <c r="B244" t="s">
        <v>145</v>
      </c>
      <c r="C244" t="s">
        <v>30</v>
      </c>
      <c r="D244" t="s">
        <v>48</v>
      </c>
      <c r="E244" t="s">
        <v>49</v>
      </c>
      <c r="F244" t="s">
        <v>50</v>
      </c>
      <c r="G244" t="s">
        <v>80</v>
      </c>
      <c r="H244" t="s">
        <v>60</v>
      </c>
      <c r="I244">
        <v>1</v>
      </c>
      <c r="J244">
        <v>274.61</v>
      </c>
      <c r="K244">
        <v>234.45</v>
      </c>
      <c r="L244">
        <v>40.159999999999997</v>
      </c>
      <c r="M244" s="5" t="str">
        <f>TEXT(Table2[[#This Row],[Order Date]],"mm")</f>
        <v>06</v>
      </c>
      <c r="N244">
        <f>YEAR(Table2[[#This Row],[Order Date]])</f>
        <v>2025</v>
      </c>
    </row>
    <row r="245" spans="1:14" x14ac:dyDescent="0.3">
      <c r="A245" t="s">
        <v>801</v>
      </c>
      <c r="B245" t="s">
        <v>802</v>
      </c>
      <c r="C245" t="s">
        <v>132</v>
      </c>
      <c r="D245" t="s">
        <v>54</v>
      </c>
      <c r="E245" t="s">
        <v>98</v>
      </c>
      <c r="F245" t="s">
        <v>25</v>
      </c>
      <c r="G245" t="s">
        <v>32</v>
      </c>
      <c r="H245" t="s">
        <v>33</v>
      </c>
      <c r="I245">
        <v>10</v>
      </c>
      <c r="J245">
        <v>17587.599999999999</v>
      </c>
      <c r="K245">
        <v>14546.3</v>
      </c>
      <c r="L245">
        <v>3041.3</v>
      </c>
      <c r="M245" s="5" t="str">
        <f>TEXT(Table2[[#This Row],[Order Date]],"mm")</f>
        <v>06</v>
      </c>
      <c r="N245">
        <f>YEAR(Table2[[#This Row],[Order Date]])</f>
        <v>2025</v>
      </c>
    </row>
    <row r="246" spans="1:14" x14ac:dyDescent="0.3">
      <c r="A246" t="s">
        <v>826</v>
      </c>
      <c r="B246" t="s">
        <v>265</v>
      </c>
      <c r="C246" t="s">
        <v>103</v>
      </c>
      <c r="D246" t="s">
        <v>15</v>
      </c>
      <c r="E246" t="s">
        <v>31</v>
      </c>
      <c r="F246" t="s">
        <v>50</v>
      </c>
      <c r="G246" t="s">
        <v>134</v>
      </c>
      <c r="H246" t="s">
        <v>44</v>
      </c>
      <c r="I246">
        <v>2</v>
      </c>
      <c r="J246">
        <v>5481.7</v>
      </c>
      <c r="K246">
        <v>3690.94</v>
      </c>
      <c r="L246">
        <v>1790.76</v>
      </c>
      <c r="M246" s="5" t="str">
        <f>TEXT(Table2[[#This Row],[Order Date]],"mm")</f>
        <v>06</v>
      </c>
      <c r="N246">
        <f>YEAR(Table2[[#This Row],[Order Date]])</f>
        <v>2025</v>
      </c>
    </row>
    <row r="247" spans="1:14" x14ac:dyDescent="0.3">
      <c r="A247" t="s">
        <v>839</v>
      </c>
      <c r="B247" t="s">
        <v>840</v>
      </c>
      <c r="C247" t="s">
        <v>106</v>
      </c>
      <c r="D247" t="s">
        <v>48</v>
      </c>
      <c r="E247" t="s">
        <v>67</v>
      </c>
      <c r="F247" t="s">
        <v>50</v>
      </c>
      <c r="G247" t="s">
        <v>51</v>
      </c>
      <c r="H247" t="s">
        <v>44</v>
      </c>
      <c r="I247">
        <v>4</v>
      </c>
      <c r="J247">
        <v>1712.04</v>
      </c>
      <c r="K247">
        <v>1271.8800000000001</v>
      </c>
      <c r="L247">
        <v>440.16</v>
      </c>
      <c r="M247" s="5" t="str">
        <f>TEXT(Table2[[#This Row],[Order Date]],"mm")</f>
        <v>06</v>
      </c>
      <c r="N247">
        <f>YEAR(Table2[[#This Row],[Order Date]])</f>
        <v>2025</v>
      </c>
    </row>
    <row r="248" spans="1:14" x14ac:dyDescent="0.3">
      <c r="A248" t="s">
        <v>853</v>
      </c>
      <c r="B248" t="s">
        <v>307</v>
      </c>
      <c r="C248" t="s">
        <v>263</v>
      </c>
      <c r="D248" t="s">
        <v>54</v>
      </c>
      <c r="E248" t="s">
        <v>98</v>
      </c>
      <c r="F248" t="s">
        <v>50</v>
      </c>
      <c r="G248" t="s">
        <v>95</v>
      </c>
      <c r="H248" t="s">
        <v>27</v>
      </c>
      <c r="I248">
        <v>7</v>
      </c>
      <c r="J248">
        <v>12183.5</v>
      </c>
      <c r="K248">
        <v>8976.7999999999993</v>
      </c>
      <c r="L248">
        <v>3206.7</v>
      </c>
      <c r="M248" s="5" t="str">
        <f>TEXT(Table2[[#This Row],[Order Date]],"mm")</f>
        <v>06</v>
      </c>
      <c r="N248">
        <f>YEAR(Table2[[#This Row],[Order Date]])</f>
        <v>2025</v>
      </c>
    </row>
    <row r="249" spans="1:14" x14ac:dyDescent="0.3">
      <c r="A249" t="s">
        <v>34</v>
      </c>
      <c r="B249" t="s">
        <v>35</v>
      </c>
      <c r="C249" t="s">
        <v>36</v>
      </c>
      <c r="D249" t="s">
        <v>23</v>
      </c>
      <c r="E249" t="s">
        <v>37</v>
      </c>
      <c r="F249" t="s">
        <v>17</v>
      </c>
      <c r="G249" t="s">
        <v>38</v>
      </c>
      <c r="H249" t="s">
        <v>39</v>
      </c>
      <c r="I249">
        <v>2</v>
      </c>
      <c r="J249">
        <v>3374.32</v>
      </c>
      <c r="K249">
        <v>2242.56</v>
      </c>
      <c r="L249">
        <v>1131.76</v>
      </c>
      <c r="M249" s="5" t="str">
        <f>TEXT(Table2[[#This Row],[Order Date]],"mm")</f>
        <v>07</v>
      </c>
      <c r="N249">
        <f>YEAR(Table2[[#This Row],[Order Date]])</f>
        <v>2025</v>
      </c>
    </row>
    <row r="250" spans="1:14" x14ac:dyDescent="0.3">
      <c r="A250" t="s">
        <v>61</v>
      </c>
      <c r="B250" t="s">
        <v>62</v>
      </c>
      <c r="C250" t="s">
        <v>22</v>
      </c>
      <c r="D250" t="s">
        <v>54</v>
      </c>
      <c r="E250" t="s">
        <v>55</v>
      </c>
      <c r="F250" t="s">
        <v>17</v>
      </c>
      <c r="G250" t="s">
        <v>63</v>
      </c>
      <c r="H250" t="s">
        <v>64</v>
      </c>
      <c r="I250">
        <v>10</v>
      </c>
      <c r="J250">
        <v>22369.200000000001</v>
      </c>
      <c r="K250">
        <v>14814.9</v>
      </c>
      <c r="L250">
        <v>7554.3</v>
      </c>
      <c r="M250" s="5" t="str">
        <f>TEXT(Table2[[#This Row],[Order Date]],"mm")</f>
        <v>07</v>
      </c>
      <c r="N250">
        <f>YEAR(Table2[[#This Row],[Order Date]])</f>
        <v>2025</v>
      </c>
    </row>
    <row r="251" spans="1:14" x14ac:dyDescent="0.3">
      <c r="A251" t="s">
        <v>77</v>
      </c>
      <c r="B251" t="s">
        <v>78</v>
      </c>
      <c r="C251" t="s">
        <v>79</v>
      </c>
      <c r="D251" t="s">
        <v>23</v>
      </c>
      <c r="E251" t="s">
        <v>37</v>
      </c>
      <c r="F251" t="s">
        <v>50</v>
      </c>
      <c r="G251" t="s">
        <v>80</v>
      </c>
      <c r="H251" t="s">
        <v>39</v>
      </c>
      <c r="I251">
        <v>4</v>
      </c>
      <c r="J251">
        <v>8645</v>
      </c>
      <c r="K251">
        <v>5547.24</v>
      </c>
      <c r="L251">
        <v>3097.76</v>
      </c>
      <c r="M251" s="5" t="str">
        <f>TEXT(Table2[[#This Row],[Order Date]],"mm")</f>
        <v>07</v>
      </c>
      <c r="N251">
        <f>YEAR(Table2[[#This Row],[Order Date]])</f>
        <v>2025</v>
      </c>
    </row>
    <row r="252" spans="1:14" x14ac:dyDescent="0.3">
      <c r="A252" t="s">
        <v>104</v>
      </c>
      <c r="B252" t="s">
        <v>105</v>
      </c>
      <c r="C252" t="s">
        <v>106</v>
      </c>
      <c r="D252" t="s">
        <v>48</v>
      </c>
      <c r="E252" t="s">
        <v>107</v>
      </c>
      <c r="F252" t="s">
        <v>25</v>
      </c>
      <c r="G252" t="s">
        <v>32</v>
      </c>
      <c r="H252" t="s">
        <v>33</v>
      </c>
      <c r="I252">
        <v>6</v>
      </c>
      <c r="J252">
        <v>6741.36</v>
      </c>
      <c r="K252">
        <v>4644.12</v>
      </c>
      <c r="L252">
        <v>2097.2399999999998</v>
      </c>
      <c r="M252" s="5" t="str">
        <f>TEXT(Table2[[#This Row],[Order Date]],"mm")</f>
        <v>07</v>
      </c>
      <c r="N252">
        <f>YEAR(Table2[[#This Row],[Order Date]])</f>
        <v>2025</v>
      </c>
    </row>
    <row r="253" spans="1:14" x14ac:dyDescent="0.3">
      <c r="A253" t="s">
        <v>117</v>
      </c>
      <c r="B253" t="s">
        <v>105</v>
      </c>
      <c r="C253" t="s">
        <v>22</v>
      </c>
      <c r="D253" t="s">
        <v>48</v>
      </c>
      <c r="E253" t="s">
        <v>84</v>
      </c>
      <c r="F253" t="s">
        <v>25</v>
      </c>
      <c r="G253" t="s">
        <v>56</v>
      </c>
      <c r="H253" t="s">
        <v>33</v>
      </c>
      <c r="I253">
        <v>7</v>
      </c>
      <c r="J253">
        <v>1813.28</v>
      </c>
      <c r="K253">
        <v>1474.41</v>
      </c>
      <c r="L253">
        <v>338.87</v>
      </c>
      <c r="M253" s="5" t="str">
        <f>TEXT(Table2[[#This Row],[Order Date]],"mm")</f>
        <v>07</v>
      </c>
      <c r="N253">
        <f>YEAR(Table2[[#This Row],[Order Date]])</f>
        <v>2025</v>
      </c>
    </row>
    <row r="254" spans="1:14" x14ac:dyDescent="0.3">
      <c r="A254" t="s">
        <v>118</v>
      </c>
      <c r="B254" t="s">
        <v>105</v>
      </c>
      <c r="C254" t="s">
        <v>70</v>
      </c>
      <c r="D254" t="s">
        <v>48</v>
      </c>
      <c r="E254" t="s">
        <v>84</v>
      </c>
      <c r="F254" t="s">
        <v>25</v>
      </c>
      <c r="G254" t="s">
        <v>56</v>
      </c>
      <c r="H254" t="s">
        <v>19</v>
      </c>
      <c r="I254">
        <v>7</v>
      </c>
      <c r="J254">
        <v>15396.29</v>
      </c>
      <c r="K254">
        <v>10780.28</v>
      </c>
      <c r="L254">
        <v>4616.01</v>
      </c>
      <c r="M254" s="5" t="str">
        <f>TEXT(Table2[[#This Row],[Order Date]],"mm")</f>
        <v>07</v>
      </c>
      <c r="N254">
        <f>YEAR(Table2[[#This Row],[Order Date]])</f>
        <v>2025</v>
      </c>
    </row>
    <row r="255" spans="1:14" x14ac:dyDescent="0.3">
      <c r="A255" t="s">
        <v>123</v>
      </c>
      <c r="B255" t="s">
        <v>35</v>
      </c>
      <c r="C255" t="s">
        <v>42</v>
      </c>
      <c r="D255" t="s">
        <v>23</v>
      </c>
      <c r="E255" t="s">
        <v>37</v>
      </c>
      <c r="F255" t="s">
        <v>17</v>
      </c>
      <c r="G255" t="s">
        <v>76</v>
      </c>
      <c r="H255" t="s">
        <v>44</v>
      </c>
      <c r="I255">
        <v>4</v>
      </c>
      <c r="J255">
        <v>6188.64</v>
      </c>
      <c r="K255">
        <v>4197.5200000000004</v>
      </c>
      <c r="L255">
        <v>1991.12</v>
      </c>
      <c r="M255" s="5" t="str">
        <f>TEXT(Table2[[#This Row],[Order Date]],"mm")</f>
        <v>07</v>
      </c>
      <c r="N255">
        <f>YEAR(Table2[[#This Row],[Order Date]])</f>
        <v>2025</v>
      </c>
    </row>
    <row r="256" spans="1:14" x14ac:dyDescent="0.3">
      <c r="A256" t="s">
        <v>139</v>
      </c>
      <c r="B256" t="s">
        <v>140</v>
      </c>
      <c r="C256" t="s">
        <v>94</v>
      </c>
      <c r="D256" t="s">
        <v>48</v>
      </c>
      <c r="E256" t="s">
        <v>107</v>
      </c>
      <c r="F256" t="s">
        <v>25</v>
      </c>
      <c r="G256" t="s">
        <v>26</v>
      </c>
      <c r="H256" t="s">
        <v>19</v>
      </c>
      <c r="I256">
        <v>8</v>
      </c>
      <c r="J256">
        <v>3027.68</v>
      </c>
      <c r="K256">
        <v>2091.92</v>
      </c>
      <c r="L256">
        <v>935.76</v>
      </c>
      <c r="M256" s="5" t="str">
        <f>TEXT(Table2[[#This Row],[Order Date]],"mm")</f>
        <v>07</v>
      </c>
      <c r="N256">
        <f>YEAR(Table2[[#This Row],[Order Date]])</f>
        <v>2025</v>
      </c>
    </row>
    <row r="257" spans="1:14" x14ac:dyDescent="0.3">
      <c r="A257" t="s">
        <v>178</v>
      </c>
      <c r="B257" t="s">
        <v>78</v>
      </c>
      <c r="C257" t="s">
        <v>22</v>
      </c>
      <c r="D257" t="s">
        <v>54</v>
      </c>
      <c r="E257" t="s">
        <v>98</v>
      </c>
      <c r="F257" t="s">
        <v>17</v>
      </c>
      <c r="G257" t="s">
        <v>76</v>
      </c>
      <c r="H257" t="s">
        <v>27</v>
      </c>
      <c r="I257">
        <v>3</v>
      </c>
      <c r="J257">
        <v>8032.95</v>
      </c>
      <c r="K257">
        <v>5401.83</v>
      </c>
      <c r="L257">
        <v>2631.12</v>
      </c>
      <c r="M257" s="5" t="str">
        <f>TEXT(Table2[[#This Row],[Order Date]],"mm")</f>
        <v>07</v>
      </c>
      <c r="N257">
        <f>YEAR(Table2[[#This Row],[Order Date]])</f>
        <v>2025</v>
      </c>
    </row>
    <row r="258" spans="1:14" x14ac:dyDescent="0.3">
      <c r="A258" t="s">
        <v>186</v>
      </c>
      <c r="B258" t="s">
        <v>187</v>
      </c>
      <c r="C258" t="s">
        <v>14</v>
      </c>
      <c r="D258" t="s">
        <v>54</v>
      </c>
      <c r="E258" t="s">
        <v>75</v>
      </c>
      <c r="F258" t="s">
        <v>25</v>
      </c>
      <c r="G258" t="s">
        <v>26</v>
      </c>
      <c r="H258" t="s">
        <v>33</v>
      </c>
      <c r="I258">
        <v>10</v>
      </c>
      <c r="J258">
        <v>20635.599999999999</v>
      </c>
      <c r="K258">
        <v>17887.099999999999</v>
      </c>
      <c r="L258">
        <v>2748.5</v>
      </c>
      <c r="M258" s="5" t="str">
        <f>TEXT(Table2[[#This Row],[Order Date]],"mm")</f>
        <v>07</v>
      </c>
      <c r="N258">
        <f>YEAR(Table2[[#This Row],[Order Date]])</f>
        <v>2025</v>
      </c>
    </row>
    <row r="259" spans="1:14" x14ac:dyDescent="0.3">
      <c r="A259" t="s">
        <v>204</v>
      </c>
      <c r="B259" t="s">
        <v>205</v>
      </c>
      <c r="C259" t="s">
        <v>206</v>
      </c>
      <c r="D259" t="s">
        <v>54</v>
      </c>
      <c r="E259" t="s">
        <v>75</v>
      </c>
      <c r="F259" t="s">
        <v>17</v>
      </c>
      <c r="G259" t="s">
        <v>76</v>
      </c>
      <c r="H259" t="s">
        <v>64</v>
      </c>
      <c r="I259">
        <v>7</v>
      </c>
      <c r="J259">
        <v>16722.86</v>
      </c>
      <c r="K259">
        <v>11173.12</v>
      </c>
      <c r="L259">
        <v>5549.74</v>
      </c>
      <c r="M259" s="5" t="str">
        <f>TEXT(Table2[[#This Row],[Order Date]],"mm")</f>
        <v>07</v>
      </c>
      <c r="N259">
        <f>YEAR(Table2[[#This Row],[Order Date]])</f>
        <v>2025</v>
      </c>
    </row>
    <row r="260" spans="1:14" x14ac:dyDescent="0.3">
      <c r="A260" t="s">
        <v>232</v>
      </c>
      <c r="B260" t="s">
        <v>233</v>
      </c>
      <c r="C260" t="s">
        <v>206</v>
      </c>
      <c r="D260" t="s">
        <v>15</v>
      </c>
      <c r="E260" t="s">
        <v>89</v>
      </c>
      <c r="F260" t="s">
        <v>50</v>
      </c>
      <c r="G260" t="s">
        <v>134</v>
      </c>
      <c r="H260" t="s">
        <v>33</v>
      </c>
      <c r="I260">
        <v>9</v>
      </c>
      <c r="J260">
        <v>23319.72</v>
      </c>
      <c r="K260">
        <v>15333.21</v>
      </c>
      <c r="L260">
        <v>7986.51</v>
      </c>
      <c r="M260" s="5" t="str">
        <f>TEXT(Table2[[#This Row],[Order Date]],"mm")</f>
        <v>07</v>
      </c>
      <c r="N260">
        <f>YEAR(Table2[[#This Row],[Order Date]])</f>
        <v>2025</v>
      </c>
    </row>
    <row r="261" spans="1:14" x14ac:dyDescent="0.3">
      <c r="A261" t="s">
        <v>241</v>
      </c>
      <c r="B261" t="s">
        <v>242</v>
      </c>
      <c r="C261" t="s">
        <v>22</v>
      </c>
      <c r="D261" t="s">
        <v>23</v>
      </c>
      <c r="E261" t="s">
        <v>43</v>
      </c>
      <c r="F261" t="s">
        <v>17</v>
      </c>
      <c r="G261" t="s">
        <v>116</v>
      </c>
      <c r="H261" t="s">
        <v>44</v>
      </c>
      <c r="I261">
        <v>7</v>
      </c>
      <c r="J261">
        <v>7441.84</v>
      </c>
      <c r="K261">
        <v>5141.1499999999996</v>
      </c>
      <c r="L261">
        <v>2300.69</v>
      </c>
      <c r="M261" s="5" t="str">
        <f>TEXT(Table2[[#This Row],[Order Date]],"mm")</f>
        <v>07</v>
      </c>
      <c r="N261">
        <f>YEAR(Table2[[#This Row],[Order Date]])</f>
        <v>2025</v>
      </c>
    </row>
    <row r="262" spans="1:14" x14ac:dyDescent="0.3">
      <c r="A262" t="s">
        <v>244</v>
      </c>
      <c r="B262" t="s">
        <v>245</v>
      </c>
      <c r="C262" t="s">
        <v>22</v>
      </c>
      <c r="D262" t="s">
        <v>23</v>
      </c>
      <c r="E262" t="s">
        <v>43</v>
      </c>
      <c r="F262" t="s">
        <v>17</v>
      </c>
      <c r="G262" t="s">
        <v>76</v>
      </c>
      <c r="H262" t="s">
        <v>27</v>
      </c>
      <c r="I262">
        <v>7</v>
      </c>
      <c r="J262">
        <v>1463.77</v>
      </c>
      <c r="K262">
        <v>994.63</v>
      </c>
      <c r="L262">
        <v>469.14</v>
      </c>
      <c r="M262" s="5" t="str">
        <f>TEXT(Table2[[#This Row],[Order Date]],"mm")</f>
        <v>07</v>
      </c>
      <c r="N262">
        <f>YEAR(Table2[[#This Row],[Order Date]])</f>
        <v>2025</v>
      </c>
    </row>
    <row r="263" spans="1:14" x14ac:dyDescent="0.3">
      <c r="A263" t="s">
        <v>248</v>
      </c>
      <c r="B263" t="s">
        <v>249</v>
      </c>
      <c r="C263" t="s">
        <v>74</v>
      </c>
      <c r="D263" t="s">
        <v>23</v>
      </c>
      <c r="E263" t="s">
        <v>24</v>
      </c>
      <c r="F263" t="s">
        <v>17</v>
      </c>
      <c r="G263" t="s">
        <v>18</v>
      </c>
      <c r="H263" t="s">
        <v>85</v>
      </c>
      <c r="I263">
        <v>1</v>
      </c>
      <c r="J263">
        <v>349.28</v>
      </c>
      <c r="K263">
        <v>268.86</v>
      </c>
      <c r="L263">
        <v>80.42</v>
      </c>
      <c r="M263" s="5" t="str">
        <f>TEXT(Table2[[#This Row],[Order Date]],"mm")</f>
        <v>07</v>
      </c>
      <c r="N263">
        <f>YEAR(Table2[[#This Row],[Order Date]])</f>
        <v>2025</v>
      </c>
    </row>
    <row r="264" spans="1:14" x14ac:dyDescent="0.3">
      <c r="A264" t="s">
        <v>252</v>
      </c>
      <c r="B264" t="s">
        <v>35</v>
      </c>
      <c r="C264" t="s">
        <v>14</v>
      </c>
      <c r="D264" t="s">
        <v>15</v>
      </c>
      <c r="E264" t="s">
        <v>183</v>
      </c>
      <c r="F264" t="s">
        <v>50</v>
      </c>
      <c r="G264" t="s">
        <v>134</v>
      </c>
      <c r="H264" t="s">
        <v>39</v>
      </c>
      <c r="I264">
        <v>2</v>
      </c>
      <c r="J264">
        <v>4922.6000000000004</v>
      </c>
      <c r="K264">
        <v>3875.48</v>
      </c>
      <c r="L264">
        <v>1047.1199999999999</v>
      </c>
      <c r="M264" s="5" t="str">
        <f>TEXT(Table2[[#This Row],[Order Date]],"mm")</f>
        <v>07</v>
      </c>
      <c r="N264">
        <f>YEAR(Table2[[#This Row],[Order Date]])</f>
        <v>2025</v>
      </c>
    </row>
    <row r="265" spans="1:14" x14ac:dyDescent="0.3">
      <c r="A265" t="s">
        <v>294</v>
      </c>
      <c r="B265" t="s">
        <v>295</v>
      </c>
      <c r="C265" t="s">
        <v>132</v>
      </c>
      <c r="D265" t="s">
        <v>23</v>
      </c>
      <c r="E265" t="s">
        <v>43</v>
      </c>
      <c r="F265" t="s">
        <v>50</v>
      </c>
      <c r="G265" t="s">
        <v>95</v>
      </c>
      <c r="H265" t="s">
        <v>19</v>
      </c>
      <c r="I265">
        <v>1</v>
      </c>
      <c r="J265">
        <v>1576.05</v>
      </c>
      <c r="K265">
        <v>1225.75</v>
      </c>
      <c r="L265">
        <v>350.3</v>
      </c>
      <c r="M265" s="5" t="str">
        <f>TEXT(Table2[[#This Row],[Order Date]],"mm")</f>
        <v>07</v>
      </c>
      <c r="N265">
        <f>YEAR(Table2[[#This Row],[Order Date]])</f>
        <v>2025</v>
      </c>
    </row>
    <row r="266" spans="1:14" x14ac:dyDescent="0.3">
      <c r="A266" t="s">
        <v>296</v>
      </c>
      <c r="B266" t="s">
        <v>297</v>
      </c>
      <c r="C266" t="s">
        <v>113</v>
      </c>
      <c r="D266" t="s">
        <v>48</v>
      </c>
      <c r="E266" t="s">
        <v>67</v>
      </c>
      <c r="F266" t="s">
        <v>50</v>
      </c>
      <c r="G266" t="s">
        <v>51</v>
      </c>
      <c r="H266" t="s">
        <v>85</v>
      </c>
      <c r="I266">
        <v>9</v>
      </c>
      <c r="J266">
        <v>6613.65</v>
      </c>
      <c r="K266">
        <v>5030.82</v>
      </c>
      <c r="L266">
        <v>1582.83</v>
      </c>
      <c r="M266" s="5" t="str">
        <f>TEXT(Table2[[#This Row],[Order Date]],"mm")</f>
        <v>07</v>
      </c>
      <c r="N266">
        <f>YEAR(Table2[[#This Row],[Order Date]])</f>
        <v>2025</v>
      </c>
    </row>
    <row r="267" spans="1:14" x14ac:dyDescent="0.3">
      <c r="A267" t="s">
        <v>313</v>
      </c>
      <c r="B267" t="s">
        <v>140</v>
      </c>
      <c r="C267" t="s">
        <v>103</v>
      </c>
      <c r="D267" t="s">
        <v>15</v>
      </c>
      <c r="E267" t="s">
        <v>183</v>
      </c>
      <c r="F267" t="s">
        <v>25</v>
      </c>
      <c r="G267" t="s">
        <v>71</v>
      </c>
      <c r="H267" t="s">
        <v>39</v>
      </c>
      <c r="I267">
        <v>9</v>
      </c>
      <c r="J267">
        <v>16294.77</v>
      </c>
      <c r="K267">
        <v>10427.76</v>
      </c>
      <c r="L267">
        <v>5867.01</v>
      </c>
      <c r="M267" s="5" t="str">
        <f>TEXT(Table2[[#This Row],[Order Date]],"mm")</f>
        <v>07</v>
      </c>
      <c r="N267">
        <f>YEAR(Table2[[#This Row],[Order Date]])</f>
        <v>2025</v>
      </c>
    </row>
    <row r="268" spans="1:14" x14ac:dyDescent="0.3">
      <c r="A268" t="s">
        <v>332</v>
      </c>
      <c r="B268" t="s">
        <v>295</v>
      </c>
      <c r="C268" t="s">
        <v>47</v>
      </c>
      <c r="D268" t="s">
        <v>54</v>
      </c>
      <c r="E268" t="s">
        <v>133</v>
      </c>
      <c r="F268" t="s">
        <v>50</v>
      </c>
      <c r="G268" t="s">
        <v>80</v>
      </c>
      <c r="H268" t="s">
        <v>19</v>
      </c>
      <c r="I268">
        <v>10</v>
      </c>
      <c r="J268">
        <v>16435.900000000001</v>
      </c>
      <c r="K268">
        <v>13510.9</v>
      </c>
      <c r="L268">
        <v>2925</v>
      </c>
      <c r="M268" s="5" t="str">
        <f>TEXT(Table2[[#This Row],[Order Date]],"mm")</f>
        <v>07</v>
      </c>
      <c r="N268">
        <f>YEAR(Table2[[#This Row],[Order Date]])</f>
        <v>2025</v>
      </c>
    </row>
    <row r="269" spans="1:14" x14ac:dyDescent="0.3">
      <c r="A269" t="s">
        <v>424</v>
      </c>
      <c r="B269" t="s">
        <v>425</v>
      </c>
      <c r="C269" t="s">
        <v>113</v>
      </c>
      <c r="D269" t="s">
        <v>54</v>
      </c>
      <c r="E269" t="s">
        <v>98</v>
      </c>
      <c r="F269" t="s">
        <v>50</v>
      </c>
      <c r="G269" t="s">
        <v>95</v>
      </c>
      <c r="H269" t="s">
        <v>39</v>
      </c>
      <c r="I269">
        <v>6</v>
      </c>
      <c r="J269">
        <v>4045.02</v>
      </c>
      <c r="K269">
        <v>2763</v>
      </c>
      <c r="L269">
        <v>1282.02</v>
      </c>
      <c r="M269" s="5" t="str">
        <f>TEXT(Table2[[#This Row],[Order Date]],"mm")</f>
        <v>07</v>
      </c>
      <c r="N269">
        <f>YEAR(Table2[[#This Row],[Order Date]])</f>
        <v>2025</v>
      </c>
    </row>
    <row r="270" spans="1:14" x14ac:dyDescent="0.3">
      <c r="A270" t="s">
        <v>447</v>
      </c>
      <c r="B270" t="s">
        <v>448</v>
      </c>
      <c r="C270" t="s">
        <v>206</v>
      </c>
      <c r="D270" t="s">
        <v>48</v>
      </c>
      <c r="E270" t="s">
        <v>84</v>
      </c>
      <c r="F270" t="s">
        <v>50</v>
      </c>
      <c r="G270" t="s">
        <v>95</v>
      </c>
      <c r="H270" t="s">
        <v>19</v>
      </c>
      <c r="I270">
        <v>10</v>
      </c>
      <c r="J270">
        <v>5397.9</v>
      </c>
      <c r="K270">
        <v>4379.3999999999996</v>
      </c>
      <c r="L270">
        <v>1018.5</v>
      </c>
      <c r="M270" s="5" t="str">
        <f>TEXT(Table2[[#This Row],[Order Date]],"mm")</f>
        <v>07</v>
      </c>
      <c r="N270">
        <f>YEAR(Table2[[#This Row],[Order Date]])</f>
        <v>2025</v>
      </c>
    </row>
    <row r="271" spans="1:14" x14ac:dyDescent="0.3">
      <c r="A271" t="s">
        <v>464</v>
      </c>
      <c r="B271" t="s">
        <v>140</v>
      </c>
      <c r="C271" t="s">
        <v>132</v>
      </c>
      <c r="D271" t="s">
        <v>15</v>
      </c>
      <c r="E271" t="s">
        <v>31</v>
      </c>
      <c r="F271" t="s">
        <v>17</v>
      </c>
      <c r="G271" t="s">
        <v>38</v>
      </c>
      <c r="H271" t="s">
        <v>60</v>
      </c>
      <c r="I271">
        <v>1</v>
      </c>
      <c r="J271">
        <v>469.37</v>
      </c>
      <c r="K271">
        <v>395.3</v>
      </c>
      <c r="L271">
        <v>74.069999999999993</v>
      </c>
      <c r="M271" s="5" t="str">
        <f>TEXT(Table2[[#This Row],[Order Date]],"mm")</f>
        <v>07</v>
      </c>
      <c r="N271">
        <f>YEAR(Table2[[#This Row],[Order Date]])</f>
        <v>2025</v>
      </c>
    </row>
    <row r="272" spans="1:14" x14ac:dyDescent="0.3">
      <c r="A272" t="s">
        <v>465</v>
      </c>
      <c r="B272" t="s">
        <v>466</v>
      </c>
      <c r="C272" t="s">
        <v>94</v>
      </c>
      <c r="D272" t="s">
        <v>15</v>
      </c>
      <c r="E272" t="s">
        <v>31</v>
      </c>
      <c r="F272" t="s">
        <v>50</v>
      </c>
      <c r="G272" t="s">
        <v>51</v>
      </c>
      <c r="H272" t="s">
        <v>19</v>
      </c>
      <c r="I272">
        <v>8</v>
      </c>
      <c r="J272">
        <v>2520</v>
      </c>
      <c r="K272">
        <v>1792.64</v>
      </c>
      <c r="L272">
        <v>727.36</v>
      </c>
      <c r="M272" s="5" t="str">
        <f>TEXT(Table2[[#This Row],[Order Date]],"mm")</f>
        <v>07</v>
      </c>
      <c r="N272">
        <f>YEAR(Table2[[#This Row],[Order Date]])</f>
        <v>2025</v>
      </c>
    </row>
    <row r="273" spans="1:14" x14ac:dyDescent="0.3">
      <c r="A273" t="s">
        <v>483</v>
      </c>
      <c r="B273" t="s">
        <v>187</v>
      </c>
      <c r="C273" t="s">
        <v>14</v>
      </c>
      <c r="D273" t="s">
        <v>23</v>
      </c>
      <c r="E273" t="s">
        <v>24</v>
      </c>
      <c r="F273" t="s">
        <v>25</v>
      </c>
      <c r="G273" t="s">
        <v>26</v>
      </c>
      <c r="H273" t="s">
        <v>33</v>
      </c>
      <c r="I273">
        <v>7</v>
      </c>
      <c r="J273">
        <v>8648.08</v>
      </c>
      <c r="K273">
        <v>6919.5</v>
      </c>
      <c r="L273">
        <v>1728.58</v>
      </c>
      <c r="M273" s="5" t="str">
        <f>TEXT(Table2[[#This Row],[Order Date]],"mm")</f>
        <v>07</v>
      </c>
      <c r="N273">
        <f>YEAR(Table2[[#This Row],[Order Date]])</f>
        <v>2025</v>
      </c>
    </row>
    <row r="274" spans="1:14" x14ac:dyDescent="0.3">
      <c r="A274" t="s">
        <v>484</v>
      </c>
      <c r="B274" t="s">
        <v>485</v>
      </c>
      <c r="C274" t="s">
        <v>132</v>
      </c>
      <c r="D274" t="s">
        <v>15</v>
      </c>
      <c r="E274" t="s">
        <v>89</v>
      </c>
      <c r="F274" t="s">
        <v>25</v>
      </c>
      <c r="G274" t="s">
        <v>26</v>
      </c>
      <c r="H274" t="s">
        <v>33</v>
      </c>
      <c r="I274">
        <v>10</v>
      </c>
      <c r="J274">
        <v>5938.4</v>
      </c>
      <c r="K274">
        <v>4328.1000000000004</v>
      </c>
      <c r="L274">
        <v>1610.3</v>
      </c>
      <c r="M274" s="5" t="str">
        <f>TEXT(Table2[[#This Row],[Order Date]],"mm")</f>
        <v>07</v>
      </c>
      <c r="N274">
        <f>YEAR(Table2[[#This Row],[Order Date]])</f>
        <v>2025</v>
      </c>
    </row>
    <row r="275" spans="1:14" x14ac:dyDescent="0.3">
      <c r="A275" t="s">
        <v>495</v>
      </c>
      <c r="B275" t="s">
        <v>297</v>
      </c>
      <c r="C275" t="s">
        <v>132</v>
      </c>
      <c r="D275" t="s">
        <v>15</v>
      </c>
      <c r="E275" t="s">
        <v>183</v>
      </c>
      <c r="F275" t="s">
        <v>50</v>
      </c>
      <c r="G275" t="s">
        <v>134</v>
      </c>
      <c r="H275" t="s">
        <v>60</v>
      </c>
      <c r="I275">
        <v>6</v>
      </c>
      <c r="J275">
        <v>6995.04</v>
      </c>
      <c r="K275">
        <v>5729.46</v>
      </c>
      <c r="L275">
        <v>1265.58</v>
      </c>
      <c r="M275" s="5" t="str">
        <f>TEXT(Table2[[#This Row],[Order Date]],"mm")</f>
        <v>07</v>
      </c>
      <c r="N275">
        <f>YEAR(Table2[[#This Row],[Order Date]])</f>
        <v>2025</v>
      </c>
    </row>
    <row r="276" spans="1:14" x14ac:dyDescent="0.3">
      <c r="A276" t="s">
        <v>539</v>
      </c>
      <c r="B276" t="s">
        <v>540</v>
      </c>
      <c r="C276" t="s">
        <v>143</v>
      </c>
      <c r="D276" t="s">
        <v>15</v>
      </c>
      <c r="E276" t="s">
        <v>16</v>
      </c>
      <c r="F276" t="s">
        <v>17</v>
      </c>
      <c r="G276" t="s">
        <v>38</v>
      </c>
      <c r="H276" t="s">
        <v>64</v>
      </c>
      <c r="I276">
        <v>3</v>
      </c>
      <c r="J276">
        <v>1870.98</v>
      </c>
      <c r="K276">
        <v>1250.76</v>
      </c>
      <c r="L276">
        <v>620.22</v>
      </c>
      <c r="M276" s="5" t="str">
        <f>TEXT(Table2[[#This Row],[Order Date]],"mm")</f>
        <v>07</v>
      </c>
      <c r="N276">
        <f>YEAR(Table2[[#This Row],[Order Date]])</f>
        <v>2025</v>
      </c>
    </row>
    <row r="277" spans="1:14" x14ac:dyDescent="0.3">
      <c r="A277" t="s">
        <v>545</v>
      </c>
      <c r="B277" t="s">
        <v>546</v>
      </c>
      <c r="C277" t="s">
        <v>106</v>
      </c>
      <c r="D277" t="s">
        <v>23</v>
      </c>
      <c r="E277" t="s">
        <v>59</v>
      </c>
      <c r="F277" t="s">
        <v>25</v>
      </c>
      <c r="G277" t="s">
        <v>56</v>
      </c>
      <c r="H277" t="s">
        <v>85</v>
      </c>
      <c r="I277">
        <v>9</v>
      </c>
      <c r="J277">
        <v>19815.93</v>
      </c>
      <c r="K277">
        <v>12551.58</v>
      </c>
      <c r="L277">
        <v>7264.35</v>
      </c>
      <c r="M277" s="5" t="str">
        <f>TEXT(Table2[[#This Row],[Order Date]],"mm")</f>
        <v>07</v>
      </c>
      <c r="N277">
        <f>YEAR(Table2[[#This Row],[Order Date]])</f>
        <v>2025</v>
      </c>
    </row>
    <row r="278" spans="1:14" x14ac:dyDescent="0.3">
      <c r="A278" t="s">
        <v>558</v>
      </c>
      <c r="B278" t="s">
        <v>559</v>
      </c>
      <c r="C278" t="s">
        <v>113</v>
      </c>
      <c r="D278" t="s">
        <v>23</v>
      </c>
      <c r="E278" t="s">
        <v>59</v>
      </c>
      <c r="F278" t="s">
        <v>50</v>
      </c>
      <c r="G278" t="s">
        <v>80</v>
      </c>
      <c r="H278" t="s">
        <v>64</v>
      </c>
      <c r="I278">
        <v>4</v>
      </c>
      <c r="J278">
        <v>6234.56</v>
      </c>
      <c r="K278">
        <v>4208.68</v>
      </c>
      <c r="L278">
        <v>2025.88</v>
      </c>
      <c r="M278" s="5" t="str">
        <f>TEXT(Table2[[#This Row],[Order Date]],"mm")</f>
        <v>07</v>
      </c>
      <c r="N278">
        <f>YEAR(Table2[[#This Row],[Order Date]])</f>
        <v>2025</v>
      </c>
    </row>
    <row r="279" spans="1:14" x14ac:dyDescent="0.3">
      <c r="A279" t="s">
        <v>591</v>
      </c>
      <c r="B279" t="s">
        <v>187</v>
      </c>
      <c r="C279" t="s">
        <v>30</v>
      </c>
      <c r="D279" t="s">
        <v>23</v>
      </c>
      <c r="E279" t="s">
        <v>24</v>
      </c>
      <c r="F279" t="s">
        <v>17</v>
      </c>
      <c r="G279" t="s">
        <v>116</v>
      </c>
      <c r="H279" t="s">
        <v>27</v>
      </c>
      <c r="I279">
        <v>6</v>
      </c>
      <c r="J279">
        <v>891.78</v>
      </c>
      <c r="K279">
        <v>630.29999999999995</v>
      </c>
      <c r="L279">
        <v>261.48</v>
      </c>
      <c r="M279" s="5" t="str">
        <f>TEXT(Table2[[#This Row],[Order Date]],"mm")</f>
        <v>07</v>
      </c>
      <c r="N279">
        <f>YEAR(Table2[[#This Row],[Order Date]])</f>
        <v>2025</v>
      </c>
    </row>
    <row r="280" spans="1:14" x14ac:dyDescent="0.3">
      <c r="A280" t="s">
        <v>625</v>
      </c>
      <c r="B280" t="s">
        <v>249</v>
      </c>
      <c r="C280" t="s">
        <v>106</v>
      </c>
      <c r="D280" t="s">
        <v>23</v>
      </c>
      <c r="E280" t="s">
        <v>59</v>
      </c>
      <c r="F280" t="s">
        <v>25</v>
      </c>
      <c r="G280" t="s">
        <v>56</v>
      </c>
      <c r="H280" t="s">
        <v>27</v>
      </c>
      <c r="I280">
        <v>2</v>
      </c>
      <c r="J280">
        <v>1274.8599999999999</v>
      </c>
      <c r="K280">
        <v>988.28</v>
      </c>
      <c r="L280">
        <v>286.58</v>
      </c>
      <c r="M280" s="5" t="str">
        <f>TEXT(Table2[[#This Row],[Order Date]],"mm")</f>
        <v>07</v>
      </c>
      <c r="N280">
        <f>YEAR(Table2[[#This Row],[Order Date]])</f>
        <v>2025</v>
      </c>
    </row>
    <row r="281" spans="1:14" x14ac:dyDescent="0.3">
      <c r="A281" t="s">
        <v>626</v>
      </c>
      <c r="B281" t="s">
        <v>140</v>
      </c>
      <c r="C281" t="s">
        <v>94</v>
      </c>
      <c r="D281" t="s">
        <v>48</v>
      </c>
      <c r="E281" t="s">
        <v>107</v>
      </c>
      <c r="F281" t="s">
        <v>17</v>
      </c>
      <c r="G281" t="s">
        <v>116</v>
      </c>
      <c r="H281" t="s">
        <v>33</v>
      </c>
      <c r="I281">
        <v>6</v>
      </c>
      <c r="J281">
        <v>8476.14</v>
      </c>
      <c r="K281">
        <v>5297.76</v>
      </c>
      <c r="L281">
        <v>3178.38</v>
      </c>
      <c r="M281" s="5" t="str">
        <f>TEXT(Table2[[#This Row],[Order Date]],"mm")</f>
        <v>07</v>
      </c>
      <c r="N281">
        <f>YEAR(Table2[[#This Row],[Order Date]])</f>
        <v>2025</v>
      </c>
    </row>
    <row r="282" spans="1:14" x14ac:dyDescent="0.3">
      <c r="A282" t="s">
        <v>639</v>
      </c>
      <c r="B282" t="s">
        <v>466</v>
      </c>
      <c r="C282" t="s">
        <v>335</v>
      </c>
      <c r="D282" t="s">
        <v>54</v>
      </c>
      <c r="E282" t="s">
        <v>75</v>
      </c>
      <c r="F282" t="s">
        <v>50</v>
      </c>
      <c r="G282" t="s">
        <v>95</v>
      </c>
      <c r="H282" t="s">
        <v>85</v>
      </c>
      <c r="I282">
        <v>5</v>
      </c>
      <c r="J282">
        <v>10344.700000000001</v>
      </c>
      <c r="K282">
        <v>7834.8</v>
      </c>
      <c r="L282">
        <v>2509.9</v>
      </c>
      <c r="M282" s="5" t="str">
        <f>TEXT(Table2[[#This Row],[Order Date]],"mm")</f>
        <v>07</v>
      </c>
      <c r="N282">
        <f>YEAR(Table2[[#This Row],[Order Date]])</f>
        <v>2025</v>
      </c>
    </row>
    <row r="283" spans="1:14" x14ac:dyDescent="0.3">
      <c r="A283" t="s">
        <v>640</v>
      </c>
      <c r="B283" t="s">
        <v>187</v>
      </c>
      <c r="C283" t="s">
        <v>132</v>
      </c>
      <c r="D283" t="s">
        <v>23</v>
      </c>
      <c r="E283" t="s">
        <v>24</v>
      </c>
      <c r="F283" t="s">
        <v>50</v>
      </c>
      <c r="G283" t="s">
        <v>51</v>
      </c>
      <c r="H283" t="s">
        <v>64</v>
      </c>
      <c r="I283">
        <v>9</v>
      </c>
      <c r="J283">
        <v>4748.49</v>
      </c>
      <c r="K283">
        <v>3484.44</v>
      </c>
      <c r="L283">
        <v>1264.05</v>
      </c>
      <c r="M283" s="5" t="str">
        <f>TEXT(Table2[[#This Row],[Order Date]],"mm")</f>
        <v>07</v>
      </c>
      <c r="N283">
        <f>YEAR(Table2[[#This Row],[Order Date]])</f>
        <v>2025</v>
      </c>
    </row>
    <row r="284" spans="1:14" x14ac:dyDescent="0.3">
      <c r="A284" t="s">
        <v>652</v>
      </c>
      <c r="B284" t="s">
        <v>653</v>
      </c>
      <c r="C284" t="s">
        <v>206</v>
      </c>
      <c r="D284" t="s">
        <v>23</v>
      </c>
      <c r="E284" t="s">
        <v>43</v>
      </c>
      <c r="F284" t="s">
        <v>25</v>
      </c>
      <c r="G284" t="s">
        <v>26</v>
      </c>
      <c r="H284" t="s">
        <v>64</v>
      </c>
      <c r="I284">
        <v>9</v>
      </c>
      <c r="J284">
        <v>2866.05</v>
      </c>
      <c r="K284">
        <v>2006.73</v>
      </c>
      <c r="L284">
        <v>859.32</v>
      </c>
      <c r="M284" s="5" t="str">
        <f>TEXT(Table2[[#This Row],[Order Date]],"mm")</f>
        <v>07</v>
      </c>
      <c r="N284">
        <f>YEAR(Table2[[#This Row],[Order Date]])</f>
        <v>2025</v>
      </c>
    </row>
    <row r="285" spans="1:14" x14ac:dyDescent="0.3">
      <c r="A285" t="s">
        <v>674</v>
      </c>
      <c r="B285" t="s">
        <v>466</v>
      </c>
      <c r="C285" t="s">
        <v>335</v>
      </c>
      <c r="D285" t="s">
        <v>23</v>
      </c>
      <c r="E285" t="s">
        <v>37</v>
      </c>
      <c r="F285" t="s">
        <v>25</v>
      </c>
      <c r="G285" t="s">
        <v>71</v>
      </c>
      <c r="H285" t="s">
        <v>44</v>
      </c>
      <c r="I285">
        <v>6</v>
      </c>
      <c r="J285">
        <v>4051.08</v>
      </c>
      <c r="K285">
        <v>3396.96</v>
      </c>
      <c r="L285">
        <v>654.12</v>
      </c>
      <c r="M285" s="5" t="str">
        <f>TEXT(Table2[[#This Row],[Order Date]],"mm")</f>
        <v>07</v>
      </c>
      <c r="N285">
        <f>YEAR(Table2[[#This Row],[Order Date]])</f>
        <v>2025</v>
      </c>
    </row>
    <row r="286" spans="1:14" x14ac:dyDescent="0.3">
      <c r="A286" t="s">
        <v>684</v>
      </c>
      <c r="B286" t="s">
        <v>187</v>
      </c>
      <c r="C286" t="s">
        <v>94</v>
      </c>
      <c r="D286" t="s">
        <v>48</v>
      </c>
      <c r="E286" t="s">
        <v>49</v>
      </c>
      <c r="F286" t="s">
        <v>17</v>
      </c>
      <c r="G286" t="s">
        <v>63</v>
      </c>
      <c r="H286" t="s">
        <v>19</v>
      </c>
      <c r="I286">
        <v>2</v>
      </c>
      <c r="J286">
        <v>4143.84</v>
      </c>
      <c r="K286">
        <v>3349.28</v>
      </c>
      <c r="L286">
        <v>794.56</v>
      </c>
      <c r="M286" s="5" t="str">
        <f>TEXT(Table2[[#This Row],[Order Date]],"mm")</f>
        <v>07</v>
      </c>
      <c r="N286">
        <f>YEAR(Table2[[#This Row],[Order Date]])</f>
        <v>2025</v>
      </c>
    </row>
    <row r="287" spans="1:14" x14ac:dyDescent="0.3">
      <c r="A287" t="s">
        <v>703</v>
      </c>
      <c r="B287" t="s">
        <v>35</v>
      </c>
      <c r="C287" t="s">
        <v>30</v>
      </c>
      <c r="D287" t="s">
        <v>23</v>
      </c>
      <c r="E287" t="s">
        <v>59</v>
      </c>
      <c r="F287" t="s">
        <v>50</v>
      </c>
      <c r="G287" t="s">
        <v>80</v>
      </c>
      <c r="H287" t="s">
        <v>39</v>
      </c>
      <c r="I287">
        <v>8</v>
      </c>
      <c r="J287">
        <v>4705.76</v>
      </c>
      <c r="K287">
        <v>4074.64</v>
      </c>
      <c r="L287">
        <v>631.12</v>
      </c>
      <c r="M287" s="5" t="str">
        <f>TEXT(Table2[[#This Row],[Order Date]],"mm")</f>
        <v>07</v>
      </c>
      <c r="N287">
        <f>YEAR(Table2[[#This Row],[Order Date]])</f>
        <v>2025</v>
      </c>
    </row>
    <row r="288" spans="1:14" x14ac:dyDescent="0.3">
      <c r="A288" t="s">
        <v>735</v>
      </c>
      <c r="B288" t="s">
        <v>242</v>
      </c>
      <c r="C288" t="s">
        <v>335</v>
      </c>
      <c r="D288" t="s">
        <v>15</v>
      </c>
      <c r="E288" t="s">
        <v>16</v>
      </c>
      <c r="F288" t="s">
        <v>50</v>
      </c>
      <c r="G288" t="s">
        <v>95</v>
      </c>
      <c r="H288" t="s">
        <v>44</v>
      </c>
      <c r="I288">
        <v>4</v>
      </c>
      <c r="J288">
        <v>5963</v>
      </c>
      <c r="K288">
        <v>3793.48</v>
      </c>
      <c r="L288">
        <v>2169.52</v>
      </c>
      <c r="M288" s="5" t="str">
        <f>TEXT(Table2[[#This Row],[Order Date]],"mm")</f>
        <v>07</v>
      </c>
      <c r="N288">
        <f>YEAR(Table2[[#This Row],[Order Date]])</f>
        <v>2025</v>
      </c>
    </row>
    <row r="289" spans="1:14" x14ac:dyDescent="0.3">
      <c r="A289" t="s">
        <v>738</v>
      </c>
      <c r="B289" t="s">
        <v>35</v>
      </c>
      <c r="C289" t="s">
        <v>70</v>
      </c>
      <c r="D289" t="s">
        <v>54</v>
      </c>
      <c r="E289" t="s">
        <v>75</v>
      </c>
      <c r="F289" t="s">
        <v>25</v>
      </c>
      <c r="G289" t="s">
        <v>56</v>
      </c>
      <c r="H289" t="s">
        <v>85</v>
      </c>
      <c r="I289">
        <v>1</v>
      </c>
      <c r="J289">
        <v>505.92</v>
      </c>
      <c r="K289">
        <v>396.03</v>
      </c>
      <c r="L289">
        <v>109.89</v>
      </c>
      <c r="M289" s="5" t="str">
        <f>TEXT(Table2[[#This Row],[Order Date]],"mm")</f>
        <v>07</v>
      </c>
      <c r="N289">
        <f>YEAR(Table2[[#This Row],[Order Date]])</f>
        <v>2025</v>
      </c>
    </row>
    <row r="290" spans="1:14" x14ac:dyDescent="0.3">
      <c r="A290" t="s">
        <v>763</v>
      </c>
      <c r="B290" t="s">
        <v>62</v>
      </c>
      <c r="C290" t="s">
        <v>106</v>
      </c>
      <c r="D290" t="s">
        <v>54</v>
      </c>
      <c r="E290" t="s">
        <v>133</v>
      </c>
      <c r="F290" t="s">
        <v>17</v>
      </c>
      <c r="G290" t="s">
        <v>38</v>
      </c>
      <c r="H290" t="s">
        <v>85</v>
      </c>
      <c r="I290">
        <v>5</v>
      </c>
      <c r="J290">
        <v>4949.3</v>
      </c>
      <c r="K290">
        <v>4141.55</v>
      </c>
      <c r="L290">
        <v>807.75</v>
      </c>
      <c r="M290" s="5" t="str">
        <f>TEXT(Table2[[#This Row],[Order Date]],"mm")</f>
        <v>07</v>
      </c>
      <c r="N290">
        <f>YEAR(Table2[[#This Row],[Order Date]])</f>
        <v>2025</v>
      </c>
    </row>
    <row r="291" spans="1:14" x14ac:dyDescent="0.3">
      <c r="A291" t="s">
        <v>771</v>
      </c>
      <c r="B291" t="s">
        <v>425</v>
      </c>
      <c r="C291" t="s">
        <v>103</v>
      </c>
      <c r="D291" t="s">
        <v>54</v>
      </c>
      <c r="E291" t="s">
        <v>75</v>
      </c>
      <c r="F291" t="s">
        <v>25</v>
      </c>
      <c r="G291" t="s">
        <v>158</v>
      </c>
      <c r="H291" t="s">
        <v>27</v>
      </c>
      <c r="I291">
        <v>4</v>
      </c>
      <c r="J291">
        <v>6758.36</v>
      </c>
      <c r="K291">
        <v>5741.24</v>
      </c>
      <c r="L291">
        <v>1017.12</v>
      </c>
      <c r="M291" s="5" t="str">
        <f>TEXT(Table2[[#This Row],[Order Date]],"mm")</f>
        <v>07</v>
      </c>
      <c r="N291">
        <f>YEAR(Table2[[#This Row],[Order Date]])</f>
        <v>2025</v>
      </c>
    </row>
    <row r="292" spans="1:14" x14ac:dyDescent="0.3">
      <c r="A292" t="s">
        <v>777</v>
      </c>
      <c r="B292" t="s">
        <v>778</v>
      </c>
      <c r="C292" t="s">
        <v>161</v>
      </c>
      <c r="D292" t="s">
        <v>48</v>
      </c>
      <c r="E292" t="s">
        <v>107</v>
      </c>
      <c r="F292" t="s">
        <v>25</v>
      </c>
      <c r="G292" t="s">
        <v>71</v>
      </c>
      <c r="H292" t="s">
        <v>39</v>
      </c>
      <c r="I292">
        <v>10</v>
      </c>
      <c r="J292">
        <v>21127.4</v>
      </c>
      <c r="K292">
        <v>13947.6</v>
      </c>
      <c r="L292">
        <v>7179.8</v>
      </c>
      <c r="M292" s="5" t="str">
        <f>TEXT(Table2[[#This Row],[Order Date]],"mm")</f>
        <v>07</v>
      </c>
      <c r="N292">
        <f>YEAR(Table2[[#This Row],[Order Date]])</f>
        <v>2025</v>
      </c>
    </row>
    <row r="293" spans="1:14" x14ac:dyDescent="0.3">
      <c r="A293" t="s">
        <v>794</v>
      </c>
      <c r="B293" t="s">
        <v>795</v>
      </c>
      <c r="C293" t="s">
        <v>103</v>
      </c>
      <c r="D293" t="s">
        <v>54</v>
      </c>
      <c r="E293" t="s">
        <v>55</v>
      </c>
      <c r="F293" t="s">
        <v>17</v>
      </c>
      <c r="G293" t="s">
        <v>76</v>
      </c>
      <c r="H293" t="s">
        <v>60</v>
      </c>
      <c r="I293">
        <v>1</v>
      </c>
      <c r="J293">
        <v>352.81</v>
      </c>
      <c r="K293">
        <v>226.15</v>
      </c>
      <c r="L293">
        <v>126.66</v>
      </c>
      <c r="M293" s="5" t="str">
        <f>TEXT(Table2[[#This Row],[Order Date]],"mm")</f>
        <v>07</v>
      </c>
      <c r="N293">
        <f>YEAR(Table2[[#This Row],[Order Date]])</f>
        <v>2025</v>
      </c>
    </row>
    <row r="294" spans="1:14" x14ac:dyDescent="0.3">
      <c r="A294" t="s">
        <v>820</v>
      </c>
      <c r="B294" t="s">
        <v>821</v>
      </c>
      <c r="C294" t="s">
        <v>47</v>
      </c>
      <c r="D294" t="s">
        <v>48</v>
      </c>
      <c r="E294" t="s">
        <v>84</v>
      </c>
      <c r="F294" t="s">
        <v>50</v>
      </c>
      <c r="G294" t="s">
        <v>51</v>
      </c>
      <c r="H294" t="s">
        <v>85</v>
      </c>
      <c r="I294">
        <v>1</v>
      </c>
      <c r="J294">
        <v>1486.24</v>
      </c>
      <c r="K294">
        <v>1077.52</v>
      </c>
      <c r="L294">
        <v>408.72</v>
      </c>
      <c r="M294" s="5" t="str">
        <f>TEXT(Table2[[#This Row],[Order Date]],"mm")</f>
        <v>07</v>
      </c>
      <c r="N294">
        <f>YEAR(Table2[[#This Row],[Order Date]])</f>
        <v>2025</v>
      </c>
    </row>
    <row r="295" spans="1:14" x14ac:dyDescent="0.3">
      <c r="A295" t="s">
        <v>822</v>
      </c>
      <c r="B295" t="s">
        <v>245</v>
      </c>
      <c r="C295" t="s">
        <v>83</v>
      </c>
      <c r="D295" t="s">
        <v>48</v>
      </c>
      <c r="E295" t="s">
        <v>49</v>
      </c>
      <c r="F295" t="s">
        <v>50</v>
      </c>
      <c r="G295" t="s">
        <v>80</v>
      </c>
      <c r="H295" t="s">
        <v>19</v>
      </c>
      <c r="I295">
        <v>1</v>
      </c>
      <c r="J295">
        <v>187.27</v>
      </c>
      <c r="K295">
        <v>158</v>
      </c>
      <c r="L295">
        <v>29.27</v>
      </c>
      <c r="M295" s="5" t="str">
        <f>TEXT(Table2[[#This Row],[Order Date]],"mm")</f>
        <v>07</v>
      </c>
      <c r="N295">
        <f>YEAR(Table2[[#This Row],[Order Date]])</f>
        <v>2025</v>
      </c>
    </row>
    <row r="296" spans="1:14" x14ac:dyDescent="0.3">
      <c r="A296" t="s">
        <v>52</v>
      </c>
      <c r="B296" t="s">
        <v>53</v>
      </c>
      <c r="C296" t="s">
        <v>36</v>
      </c>
      <c r="D296" t="s">
        <v>54</v>
      </c>
      <c r="E296" t="s">
        <v>55</v>
      </c>
      <c r="F296" t="s">
        <v>25</v>
      </c>
      <c r="G296" t="s">
        <v>56</v>
      </c>
      <c r="H296" t="s">
        <v>39</v>
      </c>
      <c r="I296">
        <v>3</v>
      </c>
      <c r="J296">
        <v>7549.38</v>
      </c>
      <c r="K296">
        <v>5063.04</v>
      </c>
      <c r="L296">
        <v>2486.34</v>
      </c>
      <c r="M296" s="5" t="str">
        <f>TEXT(Table2[[#This Row],[Order Date]],"mm")</f>
        <v>08</v>
      </c>
      <c r="N296">
        <f>YEAR(Table2[[#This Row],[Order Date]])</f>
        <v>2025</v>
      </c>
    </row>
    <row r="297" spans="1:14" x14ac:dyDescent="0.3">
      <c r="A297" t="s">
        <v>57</v>
      </c>
      <c r="B297" t="s">
        <v>58</v>
      </c>
      <c r="C297" t="s">
        <v>47</v>
      </c>
      <c r="D297" t="s">
        <v>23</v>
      </c>
      <c r="E297" t="s">
        <v>59</v>
      </c>
      <c r="F297" t="s">
        <v>25</v>
      </c>
      <c r="G297" t="s">
        <v>32</v>
      </c>
      <c r="H297" t="s">
        <v>60</v>
      </c>
      <c r="I297">
        <v>9</v>
      </c>
      <c r="J297">
        <v>7375.23</v>
      </c>
      <c r="K297">
        <v>5006.88</v>
      </c>
      <c r="L297">
        <v>2368.35</v>
      </c>
      <c r="M297" s="5" t="str">
        <f>TEXT(Table2[[#This Row],[Order Date]],"mm")</f>
        <v>08</v>
      </c>
      <c r="N297">
        <f>YEAR(Table2[[#This Row],[Order Date]])</f>
        <v>2025</v>
      </c>
    </row>
    <row r="298" spans="1:14" x14ac:dyDescent="0.3">
      <c r="A298" t="s">
        <v>72</v>
      </c>
      <c r="B298" t="s">
        <v>73</v>
      </c>
      <c r="C298" t="s">
        <v>74</v>
      </c>
      <c r="D298" t="s">
        <v>54</v>
      </c>
      <c r="E298" t="s">
        <v>75</v>
      </c>
      <c r="F298" t="s">
        <v>17</v>
      </c>
      <c r="G298" t="s">
        <v>76</v>
      </c>
      <c r="H298" t="s">
        <v>33</v>
      </c>
      <c r="I298">
        <v>10</v>
      </c>
      <c r="J298">
        <v>18664.8</v>
      </c>
      <c r="K298">
        <v>15112.1</v>
      </c>
      <c r="L298">
        <v>3552.7</v>
      </c>
      <c r="M298" s="5" t="str">
        <f>TEXT(Table2[[#This Row],[Order Date]],"mm")</f>
        <v>08</v>
      </c>
      <c r="N298">
        <f>YEAR(Table2[[#This Row],[Order Date]])</f>
        <v>2025</v>
      </c>
    </row>
    <row r="299" spans="1:14" x14ac:dyDescent="0.3">
      <c r="A299" t="s">
        <v>167</v>
      </c>
      <c r="B299" t="s">
        <v>168</v>
      </c>
      <c r="C299" t="s">
        <v>106</v>
      </c>
      <c r="D299" t="s">
        <v>54</v>
      </c>
      <c r="E299" t="s">
        <v>75</v>
      </c>
      <c r="F299" t="s">
        <v>50</v>
      </c>
      <c r="G299" t="s">
        <v>134</v>
      </c>
      <c r="H299" t="s">
        <v>85</v>
      </c>
      <c r="I299">
        <v>10</v>
      </c>
      <c r="J299">
        <v>23100.7</v>
      </c>
      <c r="K299">
        <v>17758.599999999999</v>
      </c>
      <c r="L299">
        <v>5342.1</v>
      </c>
      <c r="M299" s="5" t="str">
        <f>TEXT(Table2[[#This Row],[Order Date]],"mm")</f>
        <v>08</v>
      </c>
      <c r="N299">
        <f>YEAR(Table2[[#This Row],[Order Date]])</f>
        <v>2025</v>
      </c>
    </row>
    <row r="300" spans="1:14" x14ac:dyDescent="0.3">
      <c r="A300" t="s">
        <v>170</v>
      </c>
      <c r="B300" t="s">
        <v>171</v>
      </c>
      <c r="C300" t="s">
        <v>103</v>
      </c>
      <c r="D300" t="s">
        <v>48</v>
      </c>
      <c r="E300" t="s">
        <v>84</v>
      </c>
      <c r="F300" t="s">
        <v>17</v>
      </c>
      <c r="G300" t="s">
        <v>63</v>
      </c>
      <c r="H300" t="s">
        <v>85</v>
      </c>
      <c r="I300">
        <v>4</v>
      </c>
      <c r="J300">
        <v>1679.2</v>
      </c>
      <c r="K300">
        <v>1299.92</v>
      </c>
      <c r="L300">
        <v>379.28</v>
      </c>
      <c r="M300" s="5" t="str">
        <f>TEXT(Table2[[#This Row],[Order Date]],"mm")</f>
        <v>08</v>
      </c>
      <c r="N300">
        <f>YEAR(Table2[[#This Row],[Order Date]])</f>
        <v>2025</v>
      </c>
    </row>
    <row r="301" spans="1:14" x14ac:dyDescent="0.3">
      <c r="A301" t="s">
        <v>184</v>
      </c>
      <c r="B301" t="s">
        <v>185</v>
      </c>
      <c r="C301" t="s">
        <v>22</v>
      </c>
      <c r="D301" t="s">
        <v>54</v>
      </c>
      <c r="E301" t="s">
        <v>55</v>
      </c>
      <c r="F301" t="s">
        <v>25</v>
      </c>
      <c r="G301" t="s">
        <v>71</v>
      </c>
      <c r="H301" t="s">
        <v>27</v>
      </c>
      <c r="I301">
        <v>5</v>
      </c>
      <c r="J301">
        <v>5955.55</v>
      </c>
      <c r="K301">
        <v>4810.05</v>
      </c>
      <c r="L301">
        <v>1145.5</v>
      </c>
      <c r="M301" s="5" t="str">
        <f>TEXT(Table2[[#This Row],[Order Date]],"mm")</f>
        <v>08</v>
      </c>
      <c r="N301">
        <f>YEAR(Table2[[#This Row],[Order Date]])</f>
        <v>2025</v>
      </c>
    </row>
    <row r="302" spans="1:14" x14ac:dyDescent="0.3">
      <c r="A302" t="s">
        <v>214</v>
      </c>
      <c r="B302" t="s">
        <v>215</v>
      </c>
      <c r="C302" t="s">
        <v>14</v>
      </c>
      <c r="D302" t="s">
        <v>15</v>
      </c>
      <c r="E302" t="s">
        <v>16</v>
      </c>
      <c r="F302" t="s">
        <v>50</v>
      </c>
      <c r="G302" t="s">
        <v>134</v>
      </c>
      <c r="H302" t="s">
        <v>64</v>
      </c>
      <c r="I302">
        <v>2</v>
      </c>
      <c r="J302">
        <v>4016.4</v>
      </c>
      <c r="K302">
        <v>2597.3000000000002</v>
      </c>
      <c r="L302">
        <v>1419.1</v>
      </c>
      <c r="M302" s="5" t="str">
        <f>TEXT(Table2[[#This Row],[Order Date]],"mm")</f>
        <v>08</v>
      </c>
      <c r="N302">
        <f>YEAR(Table2[[#This Row],[Order Date]])</f>
        <v>2025</v>
      </c>
    </row>
    <row r="303" spans="1:14" x14ac:dyDescent="0.3">
      <c r="A303" t="s">
        <v>228</v>
      </c>
      <c r="B303" t="s">
        <v>229</v>
      </c>
      <c r="C303" t="s">
        <v>103</v>
      </c>
      <c r="D303" t="s">
        <v>15</v>
      </c>
      <c r="E303" t="s">
        <v>89</v>
      </c>
      <c r="F303" t="s">
        <v>25</v>
      </c>
      <c r="G303" t="s">
        <v>26</v>
      </c>
      <c r="H303" t="s">
        <v>33</v>
      </c>
      <c r="I303">
        <v>2</v>
      </c>
      <c r="J303">
        <v>1584.74</v>
      </c>
      <c r="K303">
        <v>1198.6600000000001</v>
      </c>
      <c r="L303">
        <v>386.08</v>
      </c>
      <c r="M303" s="5" t="str">
        <f>TEXT(Table2[[#This Row],[Order Date]],"mm")</f>
        <v>08</v>
      </c>
      <c r="N303">
        <f>YEAR(Table2[[#This Row],[Order Date]])</f>
        <v>2025</v>
      </c>
    </row>
    <row r="304" spans="1:14" x14ac:dyDescent="0.3">
      <c r="A304" t="s">
        <v>234</v>
      </c>
      <c r="B304" t="s">
        <v>235</v>
      </c>
      <c r="C304" t="s">
        <v>132</v>
      </c>
      <c r="D304" t="s">
        <v>15</v>
      </c>
      <c r="E304" t="s">
        <v>31</v>
      </c>
      <c r="F304" t="s">
        <v>50</v>
      </c>
      <c r="G304" t="s">
        <v>134</v>
      </c>
      <c r="H304" t="s">
        <v>33</v>
      </c>
      <c r="I304">
        <v>9</v>
      </c>
      <c r="J304">
        <v>4881.33</v>
      </c>
      <c r="K304">
        <v>3263.94</v>
      </c>
      <c r="L304">
        <v>1617.39</v>
      </c>
      <c r="M304" s="5" t="str">
        <f>TEXT(Table2[[#This Row],[Order Date]],"mm")</f>
        <v>08</v>
      </c>
      <c r="N304">
        <f>YEAR(Table2[[#This Row],[Order Date]])</f>
        <v>2025</v>
      </c>
    </row>
    <row r="305" spans="1:14" x14ac:dyDescent="0.3">
      <c r="A305" t="s">
        <v>243</v>
      </c>
      <c r="B305" t="s">
        <v>229</v>
      </c>
      <c r="C305" t="s">
        <v>42</v>
      </c>
      <c r="D305" t="s">
        <v>54</v>
      </c>
      <c r="E305" t="s">
        <v>98</v>
      </c>
      <c r="F305" t="s">
        <v>50</v>
      </c>
      <c r="G305" t="s">
        <v>110</v>
      </c>
      <c r="H305" t="s">
        <v>19</v>
      </c>
      <c r="I305">
        <v>9</v>
      </c>
      <c r="J305">
        <v>20391.39</v>
      </c>
      <c r="K305">
        <v>15947.37</v>
      </c>
      <c r="L305">
        <v>4444.0200000000004</v>
      </c>
      <c r="M305" s="5" t="str">
        <f>TEXT(Table2[[#This Row],[Order Date]],"mm")</f>
        <v>08</v>
      </c>
      <c r="N305">
        <f>YEAR(Table2[[#This Row],[Order Date]])</f>
        <v>2025</v>
      </c>
    </row>
    <row r="306" spans="1:14" x14ac:dyDescent="0.3">
      <c r="A306" t="s">
        <v>272</v>
      </c>
      <c r="B306" t="s">
        <v>168</v>
      </c>
      <c r="C306" t="s">
        <v>143</v>
      </c>
      <c r="D306" t="s">
        <v>23</v>
      </c>
      <c r="E306" t="s">
        <v>59</v>
      </c>
      <c r="F306" t="s">
        <v>25</v>
      </c>
      <c r="G306" t="s">
        <v>32</v>
      </c>
      <c r="H306" t="s">
        <v>60</v>
      </c>
      <c r="I306">
        <v>6</v>
      </c>
      <c r="J306">
        <v>8383.56</v>
      </c>
      <c r="K306">
        <v>6905.28</v>
      </c>
      <c r="L306">
        <v>1478.28</v>
      </c>
      <c r="M306" s="5" t="str">
        <f>TEXT(Table2[[#This Row],[Order Date]],"mm")</f>
        <v>08</v>
      </c>
      <c r="N306">
        <f>YEAR(Table2[[#This Row],[Order Date]])</f>
        <v>2025</v>
      </c>
    </row>
    <row r="307" spans="1:14" x14ac:dyDescent="0.3">
      <c r="A307" t="s">
        <v>281</v>
      </c>
      <c r="B307" t="s">
        <v>229</v>
      </c>
      <c r="C307" t="s">
        <v>47</v>
      </c>
      <c r="D307" t="s">
        <v>48</v>
      </c>
      <c r="E307" t="s">
        <v>107</v>
      </c>
      <c r="F307" t="s">
        <v>50</v>
      </c>
      <c r="G307" t="s">
        <v>51</v>
      </c>
      <c r="H307" t="s">
        <v>64</v>
      </c>
      <c r="I307">
        <v>4</v>
      </c>
      <c r="J307">
        <v>2286.84</v>
      </c>
      <c r="K307">
        <v>1456.92</v>
      </c>
      <c r="L307">
        <v>829.92</v>
      </c>
      <c r="M307" s="5" t="str">
        <f>TEXT(Table2[[#This Row],[Order Date]],"mm")</f>
        <v>08</v>
      </c>
      <c r="N307">
        <f>YEAR(Table2[[#This Row],[Order Date]])</f>
        <v>2025</v>
      </c>
    </row>
    <row r="308" spans="1:14" x14ac:dyDescent="0.3">
      <c r="A308" t="s">
        <v>284</v>
      </c>
      <c r="B308" t="s">
        <v>285</v>
      </c>
      <c r="C308" t="s">
        <v>22</v>
      </c>
      <c r="D308" t="s">
        <v>23</v>
      </c>
      <c r="E308" t="s">
        <v>37</v>
      </c>
      <c r="F308" t="s">
        <v>25</v>
      </c>
      <c r="G308" t="s">
        <v>26</v>
      </c>
      <c r="H308" t="s">
        <v>39</v>
      </c>
      <c r="I308">
        <v>3</v>
      </c>
      <c r="J308">
        <v>6282.72</v>
      </c>
      <c r="K308">
        <v>4589.79</v>
      </c>
      <c r="L308">
        <v>1692.93</v>
      </c>
      <c r="M308" s="5" t="str">
        <f>TEXT(Table2[[#This Row],[Order Date]],"mm")</f>
        <v>08</v>
      </c>
      <c r="N308">
        <f>YEAR(Table2[[#This Row],[Order Date]])</f>
        <v>2025</v>
      </c>
    </row>
    <row r="309" spans="1:14" x14ac:dyDescent="0.3">
      <c r="A309" t="s">
        <v>333</v>
      </c>
      <c r="B309" t="s">
        <v>334</v>
      </c>
      <c r="C309" t="s">
        <v>335</v>
      </c>
      <c r="D309" t="s">
        <v>23</v>
      </c>
      <c r="E309" t="s">
        <v>37</v>
      </c>
      <c r="F309" t="s">
        <v>17</v>
      </c>
      <c r="G309" t="s">
        <v>63</v>
      </c>
      <c r="H309" t="s">
        <v>33</v>
      </c>
      <c r="I309">
        <v>10</v>
      </c>
      <c r="J309">
        <v>22950.7</v>
      </c>
      <c r="K309">
        <v>17323.599999999999</v>
      </c>
      <c r="L309">
        <v>5627.1</v>
      </c>
      <c r="M309" s="5" t="str">
        <f>TEXT(Table2[[#This Row],[Order Date]],"mm")</f>
        <v>08</v>
      </c>
      <c r="N309">
        <f>YEAR(Table2[[#This Row],[Order Date]])</f>
        <v>2025</v>
      </c>
    </row>
    <row r="310" spans="1:14" x14ac:dyDescent="0.3">
      <c r="A310" t="s">
        <v>340</v>
      </c>
      <c r="B310" t="s">
        <v>341</v>
      </c>
      <c r="C310" t="s">
        <v>42</v>
      </c>
      <c r="D310" t="s">
        <v>23</v>
      </c>
      <c r="E310" t="s">
        <v>37</v>
      </c>
      <c r="F310" t="s">
        <v>25</v>
      </c>
      <c r="G310" t="s">
        <v>71</v>
      </c>
      <c r="H310" t="s">
        <v>27</v>
      </c>
      <c r="I310">
        <v>5</v>
      </c>
      <c r="J310">
        <v>13634.85</v>
      </c>
      <c r="K310">
        <v>9951.15</v>
      </c>
      <c r="L310">
        <v>3683.7</v>
      </c>
      <c r="M310" s="5" t="str">
        <f>TEXT(Table2[[#This Row],[Order Date]],"mm")</f>
        <v>08</v>
      </c>
      <c r="N310">
        <f>YEAR(Table2[[#This Row],[Order Date]])</f>
        <v>2025</v>
      </c>
    </row>
    <row r="311" spans="1:14" x14ac:dyDescent="0.3">
      <c r="A311" t="s">
        <v>391</v>
      </c>
      <c r="B311" t="s">
        <v>392</v>
      </c>
      <c r="C311" t="s">
        <v>143</v>
      </c>
      <c r="D311" t="s">
        <v>23</v>
      </c>
      <c r="E311" t="s">
        <v>59</v>
      </c>
      <c r="F311" t="s">
        <v>17</v>
      </c>
      <c r="G311" t="s">
        <v>116</v>
      </c>
      <c r="H311" t="s">
        <v>27</v>
      </c>
      <c r="I311">
        <v>2</v>
      </c>
      <c r="J311">
        <v>4671.6400000000003</v>
      </c>
      <c r="K311">
        <v>3460.08</v>
      </c>
      <c r="L311">
        <v>1211.56</v>
      </c>
      <c r="M311" s="5" t="str">
        <f>TEXT(Table2[[#This Row],[Order Date]],"mm")</f>
        <v>08</v>
      </c>
      <c r="N311">
        <f>YEAR(Table2[[#This Row],[Order Date]])</f>
        <v>2025</v>
      </c>
    </row>
    <row r="312" spans="1:14" x14ac:dyDescent="0.3">
      <c r="A312" t="s">
        <v>422</v>
      </c>
      <c r="B312" t="s">
        <v>423</v>
      </c>
      <c r="C312" t="s">
        <v>263</v>
      </c>
      <c r="D312" t="s">
        <v>54</v>
      </c>
      <c r="E312" t="s">
        <v>75</v>
      </c>
      <c r="F312" t="s">
        <v>17</v>
      </c>
      <c r="G312" t="s">
        <v>18</v>
      </c>
      <c r="H312" t="s">
        <v>60</v>
      </c>
      <c r="I312">
        <v>1</v>
      </c>
      <c r="J312">
        <v>1123.6400000000001</v>
      </c>
      <c r="K312">
        <v>907.67</v>
      </c>
      <c r="L312">
        <v>215.97</v>
      </c>
      <c r="M312" s="5" t="str">
        <f>TEXT(Table2[[#This Row],[Order Date]],"mm")</f>
        <v>08</v>
      </c>
      <c r="N312">
        <f>YEAR(Table2[[#This Row],[Order Date]])</f>
        <v>2025</v>
      </c>
    </row>
    <row r="313" spans="1:14" x14ac:dyDescent="0.3">
      <c r="A313" t="s">
        <v>462</v>
      </c>
      <c r="B313" t="s">
        <v>463</v>
      </c>
      <c r="C313" t="s">
        <v>132</v>
      </c>
      <c r="D313" t="s">
        <v>54</v>
      </c>
      <c r="E313" t="s">
        <v>75</v>
      </c>
      <c r="F313" t="s">
        <v>17</v>
      </c>
      <c r="G313" t="s">
        <v>38</v>
      </c>
      <c r="H313" t="s">
        <v>85</v>
      </c>
      <c r="I313">
        <v>9</v>
      </c>
      <c r="J313">
        <v>8478.81</v>
      </c>
      <c r="K313">
        <v>6792.39</v>
      </c>
      <c r="L313">
        <v>1686.42</v>
      </c>
      <c r="M313" s="5" t="str">
        <f>TEXT(Table2[[#This Row],[Order Date]],"mm")</f>
        <v>08</v>
      </c>
      <c r="N313">
        <f>YEAR(Table2[[#This Row],[Order Date]])</f>
        <v>2025</v>
      </c>
    </row>
    <row r="314" spans="1:14" x14ac:dyDescent="0.3">
      <c r="A314" t="s">
        <v>481</v>
      </c>
      <c r="B314" t="s">
        <v>482</v>
      </c>
      <c r="C314" t="s">
        <v>36</v>
      </c>
      <c r="D314" t="s">
        <v>54</v>
      </c>
      <c r="E314" t="s">
        <v>98</v>
      </c>
      <c r="F314" t="s">
        <v>17</v>
      </c>
      <c r="G314" t="s">
        <v>76</v>
      </c>
      <c r="H314" t="s">
        <v>60</v>
      </c>
      <c r="I314">
        <v>10</v>
      </c>
      <c r="J314">
        <v>25832.1</v>
      </c>
      <c r="K314">
        <v>18094.099999999999</v>
      </c>
      <c r="L314">
        <v>7738</v>
      </c>
      <c r="M314" s="5" t="str">
        <f>TEXT(Table2[[#This Row],[Order Date]],"mm")</f>
        <v>08</v>
      </c>
      <c r="N314">
        <f>YEAR(Table2[[#This Row],[Order Date]])</f>
        <v>2025</v>
      </c>
    </row>
    <row r="315" spans="1:14" x14ac:dyDescent="0.3">
      <c r="A315" t="s">
        <v>511</v>
      </c>
      <c r="B315" t="s">
        <v>392</v>
      </c>
      <c r="C315" t="s">
        <v>42</v>
      </c>
      <c r="D315" t="s">
        <v>15</v>
      </c>
      <c r="E315" t="s">
        <v>89</v>
      </c>
      <c r="F315" t="s">
        <v>25</v>
      </c>
      <c r="G315" t="s">
        <v>56</v>
      </c>
      <c r="H315" t="s">
        <v>64</v>
      </c>
      <c r="I315">
        <v>6</v>
      </c>
      <c r="J315">
        <v>13751.22</v>
      </c>
      <c r="K315">
        <v>9006.7199999999993</v>
      </c>
      <c r="L315">
        <v>4744.5</v>
      </c>
      <c r="M315" s="5" t="str">
        <f>TEXT(Table2[[#This Row],[Order Date]],"mm")</f>
        <v>08</v>
      </c>
      <c r="N315">
        <f>YEAR(Table2[[#This Row],[Order Date]])</f>
        <v>2025</v>
      </c>
    </row>
    <row r="316" spans="1:14" x14ac:dyDescent="0.3">
      <c r="A316" t="s">
        <v>548</v>
      </c>
      <c r="B316" t="s">
        <v>549</v>
      </c>
      <c r="C316" t="s">
        <v>94</v>
      </c>
      <c r="D316" t="s">
        <v>54</v>
      </c>
      <c r="E316" t="s">
        <v>98</v>
      </c>
      <c r="F316" t="s">
        <v>25</v>
      </c>
      <c r="G316" t="s">
        <v>32</v>
      </c>
      <c r="H316" t="s">
        <v>39</v>
      </c>
      <c r="I316">
        <v>4</v>
      </c>
      <c r="J316">
        <v>2819.36</v>
      </c>
      <c r="K316">
        <v>1801.36</v>
      </c>
      <c r="L316">
        <v>1018</v>
      </c>
      <c r="M316" s="5" t="str">
        <f>TEXT(Table2[[#This Row],[Order Date]],"mm")</f>
        <v>08</v>
      </c>
      <c r="N316">
        <f>YEAR(Table2[[#This Row],[Order Date]])</f>
        <v>2025</v>
      </c>
    </row>
    <row r="317" spans="1:14" x14ac:dyDescent="0.3">
      <c r="A317" t="s">
        <v>565</v>
      </c>
      <c r="B317" t="s">
        <v>566</v>
      </c>
      <c r="C317" t="s">
        <v>94</v>
      </c>
      <c r="D317" t="s">
        <v>15</v>
      </c>
      <c r="E317" t="s">
        <v>31</v>
      </c>
      <c r="F317" t="s">
        <v>25</v>
      </c>
      <c r="G317" t="s">
        <v>26</v>
      </c>
      <c r="H317" t="s">
        <v>44</v>
      </c>
      <c r="I317">
        <v>8</v>
      </c>
      <c r="J317">
        <v>12240.24</v>
      </c>
      <c r="K317">
        <v>8436</v>
      </c>
      <c r="L317">
        <v>3804.24</v>
      </c>
      <c r="M317" s="5" t="str">
        <f>TEXT(Table2[[#This Row],[Order Date]],"mm")</f>
        <v>08</v>
      </c>
      <c r="N317">
        <f>YEAR(Table2[[#This Row],[Order Date]])</f>
        <v>2025</v>
      </c>
    </row>
    <row r="318" spans="1:14" x14ac:dyDescent="0.3">
      <c r="A318" t="s">
        <v>570</v>
      </c>
      <c r="B318" t="s">
        <v>171</v>
      </c>
      <c r="C318" t="s">
        <v>143</v>
      </c>
      <c r="D318" t="s">
        <v>15</v>
      </c>
      <c r="E318" t="s">
        <v>16</v>
      </c>
      <c r="F318" t="s">
        <v>25</v>
      </c>
      <c r="G318" t="s">
        <v>26</v>
      </c>
      <c r="H318" t="s">
        <v>33</v>
      </c>
      <c r="I318">
        <v>5</v>
      </c>
      <c r="J318">
        <v>8180.85</v>
      </c>
      <c r="K318">
        <v>5174.5</v>
      </c>
      <c r="L318">
        <v>3006.35</v>
      </c>
      <c r="M318" s="5" t="str">
        <f>TEXT(Table2[[#This Row],[Order Date]],"mm")</f>
        <v>08</v>
      </c>
      <c r="N318">
        <f>YEAR(Table2[[#This Row],[Order Date]])</f>
        <v>2025</v>
      </c>
    </row>
    <row r="319" spans="1:14" x14ac:dyDescent="0.3">
      <c r="A319" t="s">
        <v>593</v>
      </c>
      <c r="B319" t="s">
        <v>594</v>
      </c>
      <c r="C319" t="s">
        <v>113</v>
      </c>
      <c r="D319" t="s">
        <v>54</v>
      </c>
      <c r="E319" t="s">
        <v>75</v>
      </c>
      <c r="F319" t="s">
        <v>17</v>
      </c>
      <c r="G319" t="s">
        <v>63</v>
      </c>
      <c r="H319" t="s">
        <v>85</v>
      </c>
      <c r="I319">
        <v>4</v>
      </c>
      <c r="J319">
        <v>7289.32</v>
      </c>
      <c r="K319">
        <v>5851.6</v>
      </c>
      <c r="L319">
        <v>1437.72</v>
      </c>
      <c r="M319" s="5" t="str">
        <f>TEXT(Table2[[#This Row],[Order Date]],"mm")</f>
        <v>08</v>
      </c>
      <c r="N319">
        <f>YEAR(Table2[[#This Row],[Order Date]])</f>
        <v>2025</v>
      </c>
    </row>
    <row r="320" spans="1:14" x14ac:dyDescent="0.3">
      <c r="A320" t="s">
        <v>649</v>
      </c>
      <c r="B320" t="s">
        <v>650</v>
      </c>
      <c r="C320" t="s">
        <v>70</v>
      </c>
      <c r="D320" t="s">
        <v>48</v>
      </c>
      <c r="E320" t="s">
        <v>67</v>
      </c>
      <c r="F320" t="s">
        <v>25</v>
      </c>
      <c r="G320" t="s">
        <v>56</v>
      </c>
      <c r="H320" t="s">
        <v>85</v>
      </c>
      <c r="I320">
        <v>10</v>
      </c>
      <c r="J320">
        <v>11107.8</v>
      </c>
      <c r="K320">
        <v>7360.5</v>
      </c>
      <c r="L320">
        <v>3747.3</v>
      </c>
      <c r="M320" s="5" t="str">
        <f>TEXT(Table2[[#This Row],[Order Date]],"mm")</f>
        <v>08</v>
      </c>
      <c r="N320">
        <f>YEAR(Table2[[#This Row],[Order Date]])</f>
        <v>2025</v>
      </c>
    </row>
    <row r="321" spans="1:14" x14ac:dyDescent="0.3">
      <c r="A321" t="s">
        <v>705</v>
      </c>
      <c r="B321" t="s">
        <v>171</v>
      </c>
      <c r="C321" t="s">
        <v>206</v>
      </c>
      <c r="D321" t="s">
        <v>48</v>
      </c>
      <c r="E321" t="s">
        <v>84</v>
      </c>
      <c r="F321" t="s">
        <v>50</v>
      </c>
      <c r="G321" t="s">
        <v>95</v>
      </c>
      <c r="H321" t="s">
        <v>60</v>
      </c>
      <c r="I321">
        <v>3</v>
      </c>
      <c r="J321">
        <v>5345.55</v>
      </c>
      <c r="K321">
        <v>4558.92</v>
      </c>
      <c r="L321">
        <v>786.63</v>
      </c>
      <c r="M321" s="5" t="str">
        <f>TEXT(Table2[[#This Row],[Order Date]],"mm")</f>
        <v>08</v>
      </c>
      <c r="N321">
        <f>YEAR(Table2[[#This Row],[Order Date]])</f>
        <v>2025</v>
      </c>
    </row>
    <row r="322" spans="1:14" x14ac:dyDescent="0.3">
      <c r="A322" t="s">
        <v>715</v>
      </c>
      <c r="B322" t="s">
        <v>716</v>
      </c>
      <c r="C322" t="s">
        <v>103</v>
      </c>
      <c r="D322" t="s">
        <v>48</v>
      </c>
      <c r="E322" t="s">
        <v>107</v>
      </c>
      <c r="F322" t="s">
        <v>17</v>
      </c>
      <c r="G322" t="s">
        <v>38</v>
      </c>
      <c r="H322" t="s">
        <v>85</v>
      </c>
      <c r="I322">
        <v>9</v>
      </c>
      <c r="J322">
        <v>5177.25</v>
      </c>
      <c r="K322">
        <v>4104.72</v>
      </c>
      <c r="L322">
        <v>1072.53</v>
      </c>
      <c r="M322" s="5" t="str">
        <f>TEXT(Table2[[#This Row],[Order Date]],"mm")</f>
        <v>08</v>
      </c>
      <c r="N322">
        <f>YEAR(Table2[[#This Row],[Order Date]])</f>
        <v>2025</v>
      </c>
    </row>
    <row r="323" spans="1:14" x14ac:dyDescent="0.3">
      <c r="A323" t="s">
        <v>736</v>
      </c>
      <c r="B323" t="s">
        <v>171</v>
      </c>
      <c r="C323" t="s">
        <v>106</v>
      </c>
      <c r="D323" t="s">
        <v>48</v>
      </c>
      <c r="E323" t="s">
        <v>107</v>
      </c>
      <c r="F323" t="s">
        <v>17</v>
      </c>
      <c r="G323" t="s">
        <v>18</v>
      </c>
      <c r="H323" t="s">
        <v>60</v>
      </c>
      <c r="I323">
        <v>4</v>
      </c>
      <c r="J323">
        <v>10134.76</v>
      </c>
      <c r="K323">
        <v>6398.32</v>
      </c>
      <c r="L323">
        <v>3736.44</v>
      </c>
      <c r="M323" s="5" t="str">
        <f>TEXT(Table2[[#This Row],[Order Date]],"mm")</f>
        <v>08</v>
      </c>
      <c r="N323">
        <f>YEAR(Table2[[#This Row],[Order Date]])</f>
        <v>2025</v>
      </c>
    </row>
    <row r="324" spans="1:14" x14ac:dyDescent="0.3">
      <c r="A324" t="s">
        <v>752</v>
      </c>
      <c r="B324" t="s">
        <v>58</v>
      </c>
      <c r="C324" t="s">
        <v>132</v>
      </c>
      <c r="D324" t="s">
        <v>48</v>
      </c>
      <c r="E324" t="s">
        <v>84</v>
      </c>
      <c r="F324" t="s">
        <v>17</v>
      </c>
      <c r="G324" t="s">
        <v>18</v>
      </c>
      <c r="H324" t="s">
        <v>44</v>
      </c>
      <c r="I324">
        <v>5</v>
      </c>
      <c r="J324">
        <v>11776.2</v>
      </c>
      <c r="K324">
        <v>8159.05</v>
      </c>
      <c r="L324">
        <v>3617.15</v>
      </c>
      <c r="M324" s="5" t="str">
        <f>TEXT(Table2[[#This Row],[Order Date]],"mm")</f>
        <v>08</v>
      </c>
      <c r="N324">
        <f>YEAR(Table2[[#This Row],[Order Date]])</f>
        <v>2025</v>
      </c>
    </row>
    <row r="325" spans="1:14" x14ac:dyDescent="0.3">
      <c r="A325" t="s">
        <v>770</v>
      </c>
      <c r="B325" t="s">
        <v>423</v>
      </c>
      <c r="C325" t="s">
        <v>94</v>
      </c>
      <c r="D325" t="s">
        <v>54</v>
      </c>
      <c r="E325" t="s">
        <v>55</v>
      </c>
      <c r="F325" t="s">
        <v>17</v>
      </c>
      <c r="G325" t="s">
        <v>63</v>
      </c>
      <c r="H325" t="s">
        <v>33</v>
      </c>
      <c r="I325">
        <v>6</v>
      </c>
      <c r="J325">
        <v>1655.1</v>
      </c>
      <c r="K325">
        <v>1075.56</v>
      </c>
      <c r="L325">
        <v>579.54</v>
      </c>
      <c r="M325" s="5" t="str">
        <f>TEXT(Table2[[#This Row],[Order Date]],"mm")</f>
        <v>08</v>
      </c>
      <c r="N325">
        <f>YEAR(Table2[[#This Row],[Order Date]])</f>
        <v>2025</v>
      </c>
    </row>
    <row r="326" spans="1:14" x14ac:dyDescent="0.3">
      <c r="A326" t="s">
        <v>784</v>
      </c>
      <c r="B326" t="s">
        <v>785</v>
      </c>
      <c r="C326" t="s">
        <v>14</v>
      </c>
      <c r="D326" t="s">
        <v>15</v>
      </c>
      <c r="E326" t="s">
        <v>31</v>
      </c>
      <c r="F326" t="s">
        <v>25</v>
      </c>
      <c r="G326" t="s">
        <v>71</v>
      </c>
      <c r="H326" t="s">
        <v>44</v>
      </c>
      <c r="I326">
        <v>6</v>
      </c>
      <c r="J326">
        <v>7590.48</v>
      </c>
      <c r="K326">
        <v>5177.16</v>
      </c>
      <c r="L326">
        <v>2413.3200000000002</v>
      </c>
      <c r="M326" s="5" t="str">
        <f>TEXT(Table2[[#This Row],[Order Date]],"mm")</f>
        <v>08</v>
      </c>
      <c r="N326">
        <f>YEAR(Table2[[#This Row],[Order Date]])</f>
        <v>2025</v>
      </c>
    </row>
    <row r="327" spans="1:14" x14ac:dyDescent="0.3">
      <c r="A327" t="s">
        <v>786</v>
      </c>
      <c r="B327" t="s">
        <v>229</v>
      </c>
      <c r="C327" t="s">
        <v>22</v>
      </c>
      <c r="D327" t="s">
        <v>48</v>
      </c>
      <c r="E327" t="s">
        <v>67</v>
      </c>
      <c r="F327" t="s">
        <v>25</v>
      </c>
      <c r="G327" t="s">
        <v>71</v>
      </c>
      <c r="H327" t="s">
        <v>19</v>
      </c>
      <c r="I327">
        <v>10</v>
      </c>
      <c r="J327">
        <v>14013.6</v>
      </c>
      <c r="K327">
        <v>11138.7</v>
      </c>
      <c r="L327">
        <v>2874.9</v>
      </c>
      <c r="M327" s="5" t="str">
        <f>TEXT(Table2[[#This Row],[Order Date]],"mm")</f>
        <v>08</v>
      </c>
      <c r="N327">
        <f>YEAR(Table2[[#This Row],[Order Date]])</f>
        <v>2025</v>
      </c>
    </row>
    <row r="328" spans="1:14" x14ac:dyDescent="0.3">
      <c r="A328" t="s">
        <v>793</v>
      </c>
      <c r="B328" t="s">
        <v>185</v>
      </c>
      <c r="C328" t="s">
        <v>36</v>
      </c>
      <c r="D328" t="s">
        <v>23</v>
      </c>
      <c r="E328" t="s">
        <v>37</v>
      </c>
      <c r="F328" t="s">
        <v>17</v>
      </c>
      <c r="G328" t="s">
        <v>38</v>
      </c>
      <c r="H328" t="s">
        <v>39</v>
      </c>
      <c r="I328">
        <v>1</v>
      </c>
      <c r="J328">
        <v>1253.9100000000001</v>
      </c>
      <c r="K328">
        <v>786.46</v>
      </c>
      <c r="L328">
        <v>467.45</v>
      </c>
      <c r="M328" s="5" t="str">
        <f>TEXT(Table2[[#This Row],[Order Date]],"mm")</f>
        <v>08</v>
      </c>
      <c r="N328">
        <f>YEAR(Table2[[#This Row],[Order Date]])</f>
        <v>2025</v>
      </c>
    </row>
    <row r="329" spans="1:14" x14ac:dyDescent="0.3">
      <c r="A329" t="s">
        <v>847</v>
      </c>
      <c r="B329" t="s">
        <v>848</v>
      </c>
      <c r="C329" t="s">
        <v>70</v>
      </c>
      <c r="D329" t="s">
        <v>54</v>
      </c>
      <c r="E329" t="s">
        <v>55</v>
      </c>
      <c r="F329" t="s">
        <v>50</v>
      </c>
      <c r="G329" t="s">
        <v>51</v>
      </c>
      <c r="H329" t="s">
        <v>85</v>
      </c>
      <c r="I329">
        <v>10</v>
      </c>
      <c r="J329">
        <v>8568.5</v>
      </c>
      <c r="K329">
        <v>5934.4</v>
      </c>
      <c r="L329">
        <v>2634.1</v>
      </c>
      <c r="M329" s="5" t="str">
        <f>TEXT(Table2[[#This Row],[Order Date]],"mm")</f>
        <v>08</v>
      </c>
      <c r="N329">
        <f>YEAR(Table2[[#This Row],[Order Date]])</f>
        <v>2025</v>
      </c>
    </row>
    <row r="330" spans="1:14" x14ac:dyDescent="0.3">
      <c r="A330" t="s">
        <v>28</v>
      </c>
      <c r="B330" t="s">
        <v>29</v>
      </c>
      <c r="C330" t="s">
        <v>30</v>
      </c>
      <c r="D330" t="s">
        <v>15</v>
      </c>
      <c r="E330" t="s">
        <v>31</v>
      </c>
      <c r="F330" t="s">
        <v>25</v>
      </c>
      <c r="G330" t="s">
        <v>32</v>
      </c>
      <c r="H330" t="s">
        <v>33</v>
      </c>
      <c r="I330">
        <v>4</v>
      </c>
      <c r="J330">
        <v>8899.24</v>
      </c>
      <c r="K330">
        <v>6353.64</v>
      </c>
      <c r="L330">
        <v>2545.6</v>
      </c>
      <c r="M330" s="5" t="str">
        <f>TEXT(Table2[[#This Row],[Order Date]],"mm")</f>
        <v>09</v>
      </c>
      <c r="N330">
        <f>YEAR(Table2[[#This Row],[Order Date]])</f>
        <v>2025</v>
      </c>
    </row>
    <row r="331" spans="1:14" x14ac:dyDescent="0.3">
      <c r="A331" t="s">
        <v>65</v>
      </c>
      <c r="B331" t="s">
        <v>66</v>
      </c>
      <c r="C331" t="s">
        <v>47</v>
      </c>
      <c r="D331" t="s">
        <v>48</v>
      </c>
      <c r="E331" t="s">
        <v>67</v>
      </c>
      <c r="F331" t="s">
        <v>25</v>
      </c>
      <c r="G331" t="s">
        <v>32</v>
      </c>
      <c r="H331" t="s">
        <v>33</v>
      </c>
      <c r="I331">
        <v>2</v>
      </c>
      <c r="J331">
        <v>4913.1400000000003</v>
      </c>
      <c r="K331">
        <v>3218.04</v>
      </c>
      <c r="L331">
        <v>1695.1</v>
      </c>
      <c r="M331" s="5" t="str">
        <f>TEXT(Table2[[#This Row],[Order Date]],"mm")</f>
        <v>09</v>
      </c>
      <c r="N331">
        <f>YEAR(Table2[[#This Row],[Order Date]])</f>
        <v>2025</v>
      </c>
    </row>
    <row r="332" spans="1:14" x14ac:dyDescent="0.3">
      <c r="A332" t="s">
        <v>68</v>
      </c>
      <c r="B332" t="s">
        <v>69</v>
      </c>
      <c r="C332" t="s">
        <v>70</v>
      </c>
      <c r="D332" t="s">
        <v>23</v>
      </c>
      <c r="E332" t="s">
        <v>59</v>
      </c>
      <c r="F332" t="s">
        <v>25</v>
      </c>
      <c r="G332" t="s">
        <v>71</v>
      </c>
      <c r="H332" t="s">
        <v>39</v>
      </c>
      <c r="I332">
        <v>10</v>
      </c>
      <c r="J332">
        <v>10699.7</v>
      </c>
      <c r="K332">
        <v>7777.8</v>
      </c>
      <c r="L332">
        <v>2921.9</v>
      </c>
      <c r="M332" s="5" t="str">
        <f>TEXT(Table2[[#This Row],[Order Date]],"mm")</f>
        <v>09</v>
      </c>
      <c r="N332">
        <f>YEAR(Table2[[#This Row],[Order Date]])</f>
        <v>2025</v>
      </c>
    </row>
    <row r="333" spans="1:14" x14ac:dyDescent="0.3">
      <c r="A333" t="s">
        <v>268</v>
      </c>
      <c r="B333" t="s">
        <v>269</v>
      </c>
      <c r="C333" t="s">
        <v>161</v>
      </c>
      <c r="D333" t="s">
        <v>54</v>
      </c>
      <c r="E333" t="s">
        <v>98</v>
      </c>
      <c r="F333" t="s">
        <v>50</v>
      </c>
      <c r="G333" t="s">
        <v>80</v>
      </c>
      <c r="H333" t="s">
        <v>19</v>
      </c>
      <c r="I333">
        <v>2</v>
      </c>
      <c r="J333">
        <v>6094.28</v>
      </c>
      <c r="K333">
        <v>3819.02</v>
      </c>
      <c r="L333">
        <v>2275.2600000000002</v>
      </c>
      <c r="M333" s="5" t="str">
        <f>TEXT(Table2[[#This Row],[Order Date]],"mm")</f>
        <v>09</v>
      </c>
      <c r="N333">
        <f>YEAR(Table2[[#This Row],[Order Date]])</f>
        <v>2025</v>
      </c>
    </row>
    <row r="334" spans="1:14" x14ac:dyDescent="0.3">
      <c r="A334" t="s">
        <v>324</v>
      </c>
      <c r="B334" t="s">
        <v>325</v>
      </c>
      <c r="C334" t="s">
        <v>22</v>
      </c>
      <c r="D334" t="s">
        <v>23</v>
      </c>
      <c r="E334" t="s">
        <v>59</v>
      </c>
      <c r="F334" t="s">
        <v>17</v>
      </c>
      <c r="G334" t="s">
        <v>38</v>
      </c>
      <c r="H334" t="s">
        <v>33</v>
      </c>
      <c r="I334">
        <v>3</v>
      </c>
      <c r="J334">
        <v>3279.27</v>
      </c>
      <c r="K334">
        <v>2726.58</v>
      </c>
      <c r="L334">
        <v>552.69000000000005</v>
      </c>
      <c r="M334" s="5" t="str">
        <f>TEXT(Table2[[#This Row],[Order Date]],"mm")</f>
        <v>09</v>
      </c>
      <c r="N334">
        <f>YEAR(Table2[[#This Row],[Order Date]])</f>
        <v>2025</v>
      </c>
    </row>
    <row r="335" spans="1:14" x14ac:dyDescent="0.3">
      <c r="A335" t="s">
        <v>356</v>
      </c>
      <c r="B335" t="s">
        <v>357</v>
      </c>
      <c r="C335" t="s">
        <v>79</v>
      </c>
      <c r="D335" t="s">
        <v>23</v>
      </c>
      <c r="E335" t="s">
        <v>59</v>
      </c>
      <c r="F335" t="s">
        <v>25</v>
      </c>
      <c r="G335" t="s">
        <v>158</v>
      </c>
      <c r="H335" t="s">
        <v>85</v>
      </c>
      <c r="I335">
        <v>5</v>
      </c>
      <c r="J335">
        <v>3417.3</v>
      </c>
      <c r="K335">
        <v>2667.85</v>
      </c>
      <c r="L335">
        <v>749.45</v>
      </c>
      <c r="M335" s="5" t="str">
        <f>TEXT(Table2[[#This Row],[Order Date]],"mm")</f>
        <v>09</v>
      </c>
      <c r="N335">
        <f>YEAR(Table2[[#This Row],[Order Date]])</f>
        <v>2025</v>
      </c>
    </row>
    <row r="336" spans="1:14" x14ac:dyDescent="0.3">
      <c r="A336" t="s">
        <v>365</v>
      </c>
      <c r="B336" t="s">
        <v>366</v>
      </c>
      <c r="C336" t="s">
        <v>83</v>
      </c>
      <c r="D336" t="s">
        <v>48</v>
      </c>
      <c r="E336" t="s">
        <v>107</v>
      </c>
      <c r="F336" t="s">
        <v>50</v>
      </c>
      <c r="G336" t="s">
        <v>51</v>
      </c>
      <c r="H336" t="s">
        <v>27</v>
      </c>
      <c r="I336">
        <v>7</v>
      </c>
      <c r="J336">
        <v>14946.82</v>
      </c>
      <c r="K336">
        <v>11733.12</v>
      </c>
      <c r="L336">
        <v>3213.7</v>
      </c>
      <c r="M336" s="5" t="str">
        <f>TEXT(Table2[[#This Row],[Order Date]],"mm")</f>
        <v>09</v>
      </c>
      <c r="N336">
        <f>YEAR(Table2[[#This Row],[Order Date]])</f>
        <v>2025</v>
      </c>
    </row>
    <row r="337" spans="1:14" x14ac:dyDescent="0.3">
      <c r="A337" t="s">
        <v>397</v>
      </c>
      <c r="B337" t="s">
        <v>398</v>
      </c>
      <c r="C337" t="s">
        <v>74</v>
      </c>
      <c r="D337" t="s">
        <v>54</v>
      </c>
      <c r="E337" t="s">
        <v>98</v>
      </c>
      <c r="F337" t="s">
        <v>17</v>
      </c>
      <c r="G337" t="s">
        <v>38</v>
      </c>
      <c r="H337" t="s">
        <v>60</v>
      </c>
      <c r="I337">
        <v>5</v>
      </c>
      <c r="J337">
        <v>3660.15</v>
      </c>
      <c r="K337">
        <v>3153.45</v>
      </c>
      <c r="L337">
        <v>506.7</v>
      </c>
      <c r="M337" s="5" t="str">
        <f>TEXT(Table2[[#This Row],[Order Date]],"mm")</f>
        <v>09</v>
      </c>
      <c r="N337">
        <f>YEAR(Table2[[#This Row],[Order Date]])</f>
        <v>2025</v>
      </c>
    </row>
    <row r="338" spans="1:14" x14ac:dyDescent="0.3">
      <c r="A338" t="s">
        <v>404</v>
      </c>
      <c r="B338" t="s">
        <v>405</v>
      </c>
      <c r="C338" t="s">
        <v>30</v>
      </c>
      <c r="D338" t="s">
        <v>48</v>
      </c>
      <c r="E338" t="s">
        <v>84</v>
      </c>
      <c r="F338" t="s">
        <v>25</v>
      </c>
      <c r="G338" t="s">
        <v>32</v>
      </c>
      <c r="H338" t="s">
        <v>64</v>
      </c>
      <c r="I338">
        <v>9</v>
      </c>
      <c r="J338">
        <v>6449.58</v>
      </c>
      <c r="K338">
        <v>5341.14</v>
      </c>
      <c r="L338">
        <v>1108.44</v>
      </c>
      <c r="M338" s="5" t="str">
        <f>TEXT(Table2[[#This Row],[Order Date]],"mm")</f>
        <v>09</v>
      </c>
      <c r="N338">
        <f>YEAR(Table2[[#This Row],[Order Date]])</f>
        <v>2025</v>
      </c>
    </row>
    <row r="339" spans="1:14" x14ac:dyDescent="0.3">
      <c r="A339" t="s">
        <v>411</v>
      </c>
      <c r="B339" t="s">
        <v>412</v>
      </c>
      <c r="C339" t="s">
        <v>335</v>
      </c>
      <c r="D339" t="s">
        <v>15</v>
      </c>
      <c r="E339" t="s">
        <v>31</v>
      </c>
      <c r="F339" t="s">
        <v>50</v>
      </c>
      <c r="G339" t="s">
        <v>110</v>
      </c>
      <c r="H339" t="s">
        <v>60</v>
      </c>
      <c r="I339">
        <v>9</v>
      </c>
      <c r="J339">
        <v>24272.82</v>
      </c>
      <c r="K339">
        <v>15288.21</v>
      </c>
      <c r="L339">
        <v>8984.61</v>
      </c>
      <c r="M339" s="5" t="str">
        <f>TEXT(Table2[[#This Row],[Order Date]],"mm")</f>
        <v>09</v>
      </c>
      <c r="N339">
        <f>YEAR(Table2[[#This Row],[Order Date]])</f>
        <v>2025</v>
      </c>
    </row>
    <row r="340" spans="1:14" x14ac:dyDescent="0.3">
      <c r="A340" t="s">
        <v>433</v>
      </c>
      <c r="B340" t="s">
        <v>434</v>
      </c>
      <c r="C340" t="s">
        <v>113</v>
      </c>
      <c r="D340" t="s">
        <v>48</v>
      </c>
      <c r="E340" t="s">
        <v>107</v>
      </c>
      <c r="F340" t="s">
        <v>17</v>
      </c>
      <c r="G340" t="s">
        <v>116</v>
      </c>
      <c r="H340" t="s">
        <v>60</v>
      </c>
      <c r="I340">
        <v>9</v>
      </c>
      <c r="J340">
        <v>5241.1499999999996</v>
      </c>
      <c r="K340">
        <v>3445.47</v>
      </c>
      <c r="L340">
        <v>1795.68</v>
      </c>
      <c r="M340" s="5" t="str">
        <f>TEXT(Table2[[#This Row],[Order Date]],"mm")</f>
        <v>09</v>
      </c>
      <c r="N340">
        <f>YEAR(Table2[[#This Row],[Order Date]])</f>
        <v>2025</v>
      </c>
    </row>
    <row r="341" spans="1:14" x14ac:dyDescent="0.3">
      <c r="A341" t="s">
        <v>471</v>
      </c>
      <c r="B341" t="s">
        <v>472</v>
      </c>
      <c r="C341" t="s">
        <v>79</v>
      </c>
      <c r="D341" t="s">
        <v>23</v>
      </c>
      <c r="E341" t="s">
        <v>24</v>
      </c>
      <c r="F341" t="s">
        <v>17</v>
      </c>
      <c r="G341" t="s">
        <v>63</v>
      </c>
      <c r="H341" t="s">
        <v>44</v>
      </c>
      <c r="I341">
        <v>9</v>
      </c>
      <c r="J341">
        <v>4395.1499999999996</v>
      </c>
      <c r="K341">
        <v>3776.67</v>
      </c>
      <c r="L341">
        <v>618.48</v>
      </c>
      <c r="M341" s="5" t="str">
        <f>TEXT(Table2[[#This Row],[Order Date]],"mm")</f>
        <v>09</v>
      </c>
      <c r="N341">
        <f>YEAR(Table2[[#This Row],[Order Date]])</f>
        <v>2025</v>
      </c>
    </row>
    <row r="342" spans="1:14" x14ac:dyDescent="0.3">
      <c r="A342" t="s">
        <v>475</v>
      </c>
      <c r="B342" t="s">
        <v>476</v>
      </c>
      <c r="C342" t="s">
        <v>36</v>
      </c>
      <c r="D342" t="s">
        <v>48</v>
      </c>
      <c r="E342" t="s">
        <v>67</v>
      </c>
      <c r="F342" t="s">
        <v>17</v>
      </c>
      <c r="G342" t="s">
        <v>63</v>
      </c>
      <c r="H342" t="s">
        <v>27</v>
      </c>
      <c r="I342">
        <v>8</v>
      </c>
      <c r="J342">
        <v>4937.28</v>
      </c>
      <c r="K342">
        <v>4165.04</v>
      </c>
      <c r="L342">
        <v>772.24</v>
      </c>
      <c r="M342" s="5" t="str">
        <f>TEXT(Table2[[#This Row],[Order Date]],"mm")</f>
        <v>09</v>
      </c>
      <c r="N342">
        <f>YEAR(Table2[[#This Row],[Order Date]])</f>
        <v>2025</v>
      </c>
    </row>
    <row r="343" spans="1:14" x14ac:dyDescent="0.3">
      <c r="A343" t="s">
        <v>477</v>
      </c>
      <c r="B343" t="s">
        <v>478</v>
      </c>
      <c r="C343" t="s">
        <v>14</v>
      </c>
      <c r="D343" t="s">
        <v>54</v>
      </c>
      <c r="E343" t="s">
        <v>75</v>
      </c>
      <c r="F343" t="s">
        <v>50</v>
      </c>
      <c r="G343" t="s">
        <v>95</v>
      </c>
      <c r="H343" t="s">
        <v>39</v>
      </c>
      <c r="I343">
        <v>5</v>
      </c>
      <c r="J343">
        <v>2388.9</v>
      </c>
      <c r="K343">
        <v>1774.25</v>
      </c>
      <c r="L343">
        <v>614.65</v>
      </c>
      <c r="M343" s="5" t="str">
        <f>TEXT(Table2[[#This Row],[Order Date]],"mm")</f>
        <v>09</v>
      </c>
      <c r="N343">
        <f>YEAR(Table2[[#This Row],[Order Date]])</f>
        <v>2025</v>
      </c>
    </row>
    <row r="344" spans="1:14" x14ac:dyDescent="0.3">
      <c r="A344" t="s">
        <v>479</v>
      </c>
      <c r="B344" t="s">
        <v>480</v>
      </c>
      <c r="C344" t="s">
        <v>113</v>
      </c>
      <c r="D344" t="s">
        <v>23</v>
      </c>
      <c r="E344" t="s">
        <v>43</v>
      </c>
      <c r="F344" t="s">
        <v>50</v>
      </c>
      <c r="G344" t="s">
        <v>80</v>
      </c>
      <c r="H344" t="s">
        <v>44</v>
      </c>
      <c r="I344">
        <v>7</v>
      </c>
      <c r="J344">
        <v>12543.09</v>
      </c>
      <c r="K344">
        <v>9783.76</v>
      </c>
      <c r="L344">
        <v>2759.33</v>
      </c>
      <c r="M344" s="5" t="str">
        <f>TEXT(Table2[[#This Row],[Order Date]],"mm")</f>
        <v>09</v>
      </c>
      <c r="N344">
        <f>YEAR(Table2[[#This Row],[Order Date]])</f>
        <v>2025</v>
      </c>
    </row>
    <row r="345" spans="1:14" x14ac:dyDescent="0.3">
      <c r="A345" t="s">
        <v>506</v>
      </c>
      <c r="B345" t="s">
        <v>434</v>
      </c>
      <c r="C345" t="s">
        <v>74</v>
      </c>
      <c r="D345" t="s">
        <v>15</v>
      </c>
      <c r="E345" t="s">
        <v>31</v>
      </c>
      <c r="F345" t="s">
        <v>25</v>
      </c>
      <c r="G345" t="s">
        <v>158</v>
      </c>
      <c r="H345" t="s">
        <v>60</v>
      </c>
      <c r="I345">
        <v>4</v>
      </c>
      <c r="J345">
        <v>1663.72</v>
      </c>
      <c r="K345">
        <v>1298.76</v>
      </c>
      <c r="L345">
        <v>364.96</v>
      </c>
      <c r="M345" s="5" t="str">
        <f>TEXT(Table2[[#This Row],[Order Date]],"mm")</f>
        <v>09</v>
      </c>
      <c r="N345">
        <f>YEAR(Table2[[#This Row],[Order Date]])</f>
        <v>2025</v>
      </c>
    </row>
    <row r="346" spans="1:14" x14ac:dyDescent="0.3">
      <c r="A346" t="s">
        <v>536</v>
      </c>
      <c r="B346" t="s">
        <v>398</v>
      </c>
      <c r="C346" t="s">
        <v>79</v>
      </c>
      <c r="D346" t="s">
        <v>48</v>
      </c>
      <c r="E346" t="s">
        <v>84</v>
      </c>
      <c r="F346" t="s">
        <v>50</v>
      </c>
      <c r="G346" t="s">
        <v>80</v>
      </c>
      <c r="H346" t="s">
        <v>27</v>
      </c>
      <c r="I346">
        <v>4</v>
      </c>
      <c r="J346">
        <v>3445.12</v>
      </c>
      <c r="K346">
        <v>2780.28</v>
      </c>
      <c r="L346">
        <v>664.84</v>
      </c>
      <c r="M346" s="5" t="str">
        <f>TEXT(Table2[[#This Row],[Order Date]],"mm")</f>
        <v>09</v>
      </c>
      <c r="N346">
        <f>YEAR(Table2[[#This Row],[Order Date]])</f>
        <v>2025</v>
      </c>
    </row>
    <row r="347" spans="1:14" x14ac:dyDescent="0.3">
      <c r="A347" t="s">
        <v>541</v>
      </c>
      <c r="B347" t="s">
        <v>542</v>
      </c>
      <c r="C347" t="s">
        <v>14</v>
      </c>
      <c r="D347" t="s">
        <v>15</v>
      </c>
      <c r="E347" t="s">
        <v>89</v>
      </c>
      <c r="F347" t="s">
        <v>25</v>
      </c>
      <c r="G347" t="s">
        <v>158</v>
      </c>
      <c r="H347" t="s">
        <v>33</v>
      </c>
      <c r="I347">
        <v>10</v>
      </c>
      <c r="J347">
        <v>4521.2</v>
      </c>
      <c r="K347">
        <v>3099.7</v>
      </c>
      <c r="L347">
        <v>1421.5</v>
      </c>
      <c r="M347" s="5" t="str">
        <f>TEXT(Table2[[#This Row],[Order Date]],"mm")</f>
        <v>09</v>
      </c>
      <c r="N347">
        <f>YEAR(Table2[[#This Row],[Order Date]])</f>
        <v>2025</v>
      </c>
    </row>
    <row r="348" spans="1:14" x14ac:dyDescent="0.3">
      <c r="A348" t="s">
        <v>587</v>
      </c>
      <c r="B348" t="s">
        <v>412</v>
      </c>
      <c r="C348" t="s">
        <v>206</v>
      </c>
      <c r="D348" t="s">
        <v>23</v>
      </c>
      <c r="E348" t="s">
        <v>24</v>
      </c>
      <c r="F348" t="s">
        <v>50</v>
      </c>
      <c r="G348" t="s">
        <v>110</v>
      </c>
      <c r="H348" t="s">
        <v>39</v>
      </c>
      <c r="I348">
        <v>9</v>
      </c>
      <c r="J348">
        <v>11369.61</v>
      </c>
      <c r="K348">
        <v>9569.43</v>
      </c>
      <c r="L348">
        <v>1800.18</v>
      </c>
      <c r="M348" s="5" t="str">
        <f>TEXT(Table2[[#This Row],[Order Date]],"mm")</f>
        <v>09</v>
      </c>
      <c r="N348">
        <f>YEAR(Table2[[#This Row],[Order Date]])</f>
        <v>2025</v>
      </c>
    </row>
    <row r="349" spans="1:14" x14ac:dyDescent="0.3">
      <c r="A349" t="s">
        <v>590</v>
      </c>
      <c r="B349" t="s">
        <v>398</v>
      </c>
      <c r="C349" t="s">
        <v>79</v>
      </c>
      <c r="D349" t="s">
        <v>54</v>
      </c>
      <c r="E349" t="s">
        <v>75</v>
      </c>
      <c r="F349" t="s">
        <v>17</v>
      </c>
      <c r="G349" t="s">
        <v>76</v>
      </c>
      <c r="H349" t="s">
        <v>60</v>
      </c>
      <c r="I349">
        <v>2</v>
      </c>
      <c r="J349">
        <v>4725.22</v>
      </c>
      <c r="K349">
        <v>3945.78</v>
      </c>
      <c r="L349">
        <v>779.44</v>
      </c>
      <c r="M349" s="5" t="str">
        <f>TEXT(Table2[[#This Row],[Order Date]],"mm")</f>
        <v>09</v>
      </c>
      <c r="N349">
        <f>YEAR(Table2[[#This Row],[Order Date]])</f>
        <v>2025</v>
      </c>
    </row>
    <row r="350" spans="1:14" x14ac:dyDescent="0.3">
      <c r="A350" t="s">
        <v>597</v>
      </c>
      <c r="B350" t="s">
        <v>598</v>
      </c>
      <c r="C350" t="s">
        <v>30</v>
      </c>
      <c r="D350" t="s">
        <v>54</v>
      </c>
      <c r="E350" t="s">
        <v>55</v>
      </c>
      <c r="F350" t="s">
        <v>50</v>
      </c>
      <c r="G350" t="s">
        <v>51</v>
      </c>
      <c r="H350" t="s">
        <v>44</v>
      </c>
      <c r="I350">
        <v>5</v>
      </c>
      <c r="J350">
        <v>2165.3000000000002</v>
      </c>
      <c r="K350">
        <v>1406.75</v>
      </c>
      <c r="L350">
        <v>758.55</v>
      </c>
      <c r="M350" s="5" t="str">
        <f>TEXT(Table2[[#This Row],[Order Date]],"mm")</f>
        <v>09</v>
      </c>
      <c r="N350">
        <f>YEAR(Table2[[#This Row],[Order Date]])</f>
        <v>2025</v>
      </c>
    </row>
    <row r="351" spans="1:14" x14ac:dyDescent="0.3">
      <c r="A351" t="s">
        <v>612</v>
      </c>
      <c r="B351" t="s">
        <v>613</v>
      </c>
      <c r="C351" t="s">
        <v>161</v>
      </c>
      <c r="D351" t="s">
        <v>23</v>
      </c>
      <c r="E351" t="s">
        <v>24</v>
      </c>
      <c r="F351" t="s">
        <v>50</v>
      </c>
      <c r="G351" t="s">
        <v>95</v>
      </c>
      <c r="H351" t="s">
        <v>33</v>
      </c>
      <c r="I351">
        <v>5</v>
      </c>
      <c r="J351">
        <v>1670.2</v>
      </c>
      <c r="K351">
        <v>1138.8</v>
      </c>
      <c r="L351">
        <v>531.4</v>
      </c>
      <c r="M351" s="5" t="str">
        <f>TEXT(Table2[[#This Row],[Order Date]],"mm")</f>
        <v>09</v>
      </c>
      <c r="N351">
        <f>YEAR(Table2[[#This Row],[Order Date]])</f>
        <v>2025</v>
      </c>
    </row>
    <row r="352" spans="1:14" x14ac:dyDescent="0.3">
      <c r="A352" t="s">
        <v>614</v>
      </c>
      <c r="B352" t="s">
        <v>476</v>
      </c>
      <c r="C352" t="s">
        <v>74</v>
      </c>
      <c r="D352" t="s">
        <v>15</v>
      </c>
      <c r="E352" t="s">
        <v>183</v>
      </c>
      <c r="F352" t="s">
        <v>17</v>
      </c>
      <c r="G352" t="s">
        <v>76</v>
      </c>
      <c r="H352" t="s">
        <v>27</v>
      </c>
      <c r="I352">
        <v>1</v>
      </c>
      <c r="J352">
        <v>2703.41</v>
      </c>
      <c r="K352">
        <v>1726.85</v>
      </c>
      <c r="L352">
        <v>976.56</v>
      </c>
      <c r="M352" s="5" t="str">
        <f>TEXT(Table2[[#This Row],[Order Date]],"mm")</f>
        <v>09</v>
      </c>
      <c r="N352">
        <f>YEAR(Table2[[#This Row],[Order Date]])</f>
        <v>2025</v>
      </c>
    </row>
    <row r="353" spans="1:14" x14ac:dyDescent="0.3">
      <c r="A353" t="s">
        <v>624</v>
      </c>
      <c r="B353" t="s">
        <v>476</v>
      </c>
      <c r="C353" t="s">
        <v>47</v>
      </c>
      <c r="D353" t="s">
        <v>48</v>
      </c>
      <c r="E353" t="s">
        <v>107</v>
      </c>
      <c r="F353" t="s">
        <v>50</v>
      </c>
      <c r="G353" t="s">
        <v>80</v>
      </c>
      <c r="H353" t="s">
        <v>64</v>
      </c>
      <c r="I353">
        <v>2</v>
      </c>
      <c r="J353">
        <v>666.32</v>
      </c>
      <c r="K353">
        <v>463.74</v>
      </c>
      <c r="L353">
        <v>202.58</v>
      </c>
      <c r="M353" s="5" t="str">
        <f>TEXT(Table2[[#This Row],[Order Date]],"mm")</f>
        <v>09</v>
      </c>
      <c r="N353">
        <f>YEAR(Table2[[#This Row],[Order Date]])</f>
        <v>2025</v>
      </c>
    </row>
    <row r="354" spans="1:14" x14ac:dyDescent="0.3">
      <c r="A354" t="s">
        <v>677</v>
      </c>
      <c r="B354" t="s">
        <v>678</v>
      </c>
      <c r="C354" t="s">
        <v>74</v>
      </c>
      <c r="D354" t="s">
        <v>23</v>
      </c>
      <c r="E354" t="s">
        <v>43</v>
      </c>
      <c r="F354" t="s">
        <v>50</v>
      </c>
      <c r="G354" t="s">
        <v>95</v>
      </c>
      <c r="H354" t="s">
        <v>27</v>
      </c>
      <c r="I354">
        <v>9</v>
      </c>
      <c r="J354">
        <v>21051.72</v>
      </c>
      <c r="K354">
        <v>13720.68</v>
      </c>
      <c r="L354">
        <v>7331.04</v>
      </c>
      <c r="M354" s="5" t="str">
        <f>TEXT(Table2[[#This Row],[Order Date]],"mm")</f>
        <v>09</v>
      </c>
      <c r="N354">
        <f>YEAR(Table2[[#This Row],[Order Date]])</f>
        <v>2025</v>
      </c>
    </row>
    <row r="355" spans="1:14" x14ac:dyDescent="0.3">
      <c r="A355" t="s">
        <v>689</v>
      </c>
      <c r="B355" t="s">
        <v>398</v>
      </c>
      <c r="C355" t="s">
        <v>143</v>
      </c>
      <c r="D355" t="s">
        <v>48</v>
      </c>
      <c r="E355" t="s">
        <v>84</v>
      </c>
      <c r="F355" t="s">
        <v>25</v>
      </c>
      <c r="G355" t="s">
        <v>56</v>
      </c>
      <c r="H355" t="s">
        <v>33</v>
      </c>
      <c r="I355">
        <v>7</v>
      </c>
      <c r="J355">
        <v>8904.7000000000007</v>
      </c>
      <c r="K355">
        <v>7584.71</v>
      </c>
      <c r="L355">
        <v>1319.99</v>
      </c>
      <c r="M355" s="5" t="str">
        <f>TEXT(Table2[[#This Row],[Order Date]],"mm")</f>
        <v>09</v>
      </c>
      <c r="N355">
        <f>YEAR(Table2[[#This Row],[Order Date]])</f>
        <v>2025</v>
      </c>
    </row>
    <row r="356" spans="1:14" x14ac:dyDescent="0.3">
      <c r="A356" t="s">
        <v>714</v>
      </c>
      <c r="B356" t="s">
        <v>405</v>
      </c>
      <c r="C356" t="s">
        <v>42</v>
      </c>
      <c r="D356" t="s">
        <v>23</v>
      </c>
      <c r="E356" t="s">
        <v>43</v>
      </c>
      <c r="F356" t="s">
        <v>25</v>
      </c>
      <c r="G356" t="s">
        <v>158</v>
      </c>
      <c r="H356" t="s">
        <v>19</v>
      </c>
      <c r="I356">
        <v>10</v>
      </c>
      <c r="J356">
        <v>20521.7</v>
      </c>
      <c r="K356">
        <v>16913</v>
      </c>
      <c r="L356">
        <v>3608.7</v>
      </c>
      <c r="M356" s="5" t="str">
        <f>TEXT(Table2[[#This Row],[Order Date]],"mm")</f>
        <v>09</v>
      </c>
      <c r="N356">
        <f>YEAR(Table2[[#This Row],[Order Date]])</f>
        <v>2025</v>
      </c>
    </row>
    <row r="357" spans="1:14" x14ac:dyDescent="0.3">
      <c r="A357" t="s">
        <v>742</v>
      </c>
      <c r="B357" t="s">
        <v>66</v>
      </c>
      <c r="C357" t="s">
        <v>335</v>
      </c>
      <c r="D357" t="s">
        <v>48</v>
      </c>
      <c r="E357" t="s">
        <v>107</v>
      </c>
      <c r="F357" t="s">
        <v>50</v>
      </c>
      <c r="G357" t="s">
        <v>134</v>
      </c>
      <c r="H357" t="s">
        <v>27</v>
      </c>
      <c r="I357">
        <v>10</v>
      </c>
      <c r="J357">
        <v>12598.1</v>
      </c>
      <c r="K357">
        <v>8573.7999999999993</v>
      </c>
      <c r="L357">
        <v>4024.3</v>
      </c>
      <c r="M357" s="5" t="str">
        <f>TEXT(Table2[[#This Row],[Order Date]],"mm")</f>
        <v>09</v>
      </c>
      <c r="N357">
        <f>YEAR(Table2[[#This Row],[Order Date]])</f>
        <v>2025</v>
      </c>
    </row>
    <row r="358" spans="1:14" x14ac:dyDescent="0.3">
      <c r="A358" t="s">
        <v>743</v>
      </c>
      <c r="B358" t="s">
        <v>69</v>
      </c>
      <c r="C358" t="s">
        <v>70</v>
      </c>
      <c r="D358" t="s">
        <v>15</v>
      </c>
      <c r="E358" t="s">
        <v>183</v>
      </c>
      <c r="F358" t="s">
        <v>17</v>
      </c>
      <c r="G358" t="s">
        <v>18</v>
      </c>
      <c r="H358" t="s">
        <v>64</v>
      </c>
      <c r="I358">
        <v>7</v>
      </c>
      <c r="J358">
        <v>9398.41</v>
      </c>
      <c r="K358">
        <v>6241.55</v>
      </c>
      <c r="L358">
        <v>3156.86</v>
      </c>
      <c r="M358" s="5" t="str">
        <f>TEXT(Table2[[#This Row],[Order Date]],"mm")</f>
        <v>09</v>
      </c>
      <c r="N358">
        <f>YEAR(Table2[[#This Row],[Order Date]])</f>
        <v>2025</v>
      </c>
    </row>
    <row r="359" spans="1:14" x14ac:dyDescent="0.3">
      <c r="A359" t="s">
        <v>757</v>
      </c>
      <c r="B359" t="s">
        <v>480</v>
      </c>
      <c r="C359" t="s">
        <v>14</v>
      </c>
      <c r="D359" t="s">
        <v>48</v>
      </c>
      <c r="E359" t="s">
        <v>49</v>
      </c>
      <c r="F359" t="s">
        <v>25</v>
      </c>
      <c r="G359" t="s">
        <v>158</v>
      </c>
      <c r="H359" t="s">
        <v>44</v>
      </c>
      <c r="I359">
        <v>10</v>
      </c>
      <c r="J359">
        <v>11771.3</v>
      </c>
      <c r="K359">
        <v>9384.5</v>
      </c>
      <c r="L359">
        <v>2386.8000000000002</v>
      </c>
      <c r="M359" s="5" t="str">
        <f>TEXT(Table2[[#This Row],[Order Date]],"mm")</f>
        <v>09</v>
      </c>
      <c r="N359">
        <f>YEAR(Table2[[#This Row],[Order Date]])</f>
        <v>2025</v>
      </c>
    </row>
    <row r="360" spans="1:14" x14ac:dyDescent="0.3">
      <c r="A360" t="s">
        <v>761</v>
      </c>
      <c r="B360" t="s">
        <v>472</v>
      </c>
      <c r="C360" t="s">
        <v>103</v>
      </c>
      <c r="D360" t="s">
        <v>23</v>
      </c>
      <c r="E360" t="s">
        <v>43</v>
      </c>
      <c r="F360" t="s">
        <v>25</v>
      </c>
      <c r="G360" t="s">
        <v>56</v>
      </c>
      <c r="H360" t="s">
        <v>39</v>
      </c>
      <c r="I360">
        <v>1</v>
      </c>
      <c r="J360">
        <v>521.89</v>
      </c>
      <c r="K360">
        <v>380.68</v>
      </c>
      <c r="L360">
        <v>141.21</v>
      </c>
      <c r="M360" s="5" t="str">
        <f>TEXT(Table2[[#This Row],[Order Date]],"mm")</f>
        <v>09</v>
      </c>
      <c r="N360">
        <f>YEAR(Table2[[#This Row],[Order Date]])</f>
        <v>2025</v>
      </c>
    </row>
    <row r="361" spans="1:14" x14ac:dyDescent="0.3">
      <c r="A361" t="s">
        <v>779</v>
      </c>
      <c r="B361" t="s">
        <v>780</v>
      </c>
      <c r="C361" t="s">
        <v>79</v>
      </c>
      <c r="D361" t="s">
        <v>54</v>
      </c>
      <c r="E361" t="s">
        <v>133</v>
      </c>
      <c r="F361" t="s">
        <v>25</v>
      </c>
      <c r="G361" t="s">
        <v>26</v>
      </c>
      <c r="H361" t="s">
        <v>39</v>
      </c>
      <c r="I361">
        <v>3</v>
      </c>
      <c r="J361">
        <v>9186.5400000000009</v>
      </c>
      <c r="K361">
        <v>5967.09</v>
      </c>
      <c r="L361">
        <v>3219.45</v>
      </c>
      <c r="M361" s="5" t="str">
        <f>TEXT(Table2[[#This Row],[Order Date]],"mm")</f>
        <v>09</v>
      </c>
      <c r="N361">
        <f>YEAR(Table2[[#This Row],[Order Date]])</f>
        <v>2025</v>
      </c>
    </row>
    <row r="362" spans="1:14" x14ac:dyDescent="0.3">
      <c r="A362" t="s">
        <v>788</v>
      </c>
      <c r="B362" t="s">
        <v>789</v>
      </c>
      <c r="C362" t="s">
        <v>22</v>
      </c>
      <c r="D362" t="s">
        <v>54</v>
      </c>
      <c r="E362" t="s">
        <v>133</v>
      </c>
      <c r="F362" t="s">
        <v>50</v>
      </c>
      <c r="G362" t="s">
        <v>110</v>
      </c>
      <c r="H362" t="s">
        <v>64</v>
      </c>
      <c r="I362">
        <v>5</v>
      </c>
      <c r="J362">
        <v>5983.25</v>
      </c>
      <c r="K362">
        <v>4908.6000000000004</v>
      </c>
      <c r="L362">
        <v>1074.6500000000001</v>
      </c>
      <c r="M362" s="5" t="str">
        <f>TEXT(Table2[[#This Row],[Order Date]],"mm")</f>
        <v>09</v>
      </c>
      <c r="N362">
        <f>YEAR(Table2[[#This Row],[Order Date]])</f>
        <v>2025</v>
      </c>
    </row>
    <row r="363" spans="1:14" x14ac:dyDescent="0.3">
      <c r="A363" t="s">
        <v>791</v>
      </c>
      <c r="B363" t="s">
        <v>792</v>
      </c>
      <c r="C363" t="s">
        <v>143</v>
      </c>
      <c r="D363" t="s">
        <v>54</v>
      </c>
      <c r="E363" t="s">
        <v>75</v>
      </c>
      <c r="F363" t="s">
        <v>25</v>
      </c>
      <c r="G363" t="s">
        <v>56</v>
      </c>
      <c r="H363" t="s">
        <v>64</v>
      </c>
      <c r="I363">
        <v>2</v>
      </c>
      <c r="J363">
        <v>1463.86</v>
      </c>
      <c r="K363">
        <v>996.8</v>
      </c>
      <c r="L363">
        <v>467.06</v>
      </c>
      <c r="M363" s="5" t="str">
        <f>TEXT(Table2[[#This Row],[Order Date]],"mm")</f>
        <v>09</v>
      </c>
      <c r="N363">
        <f>YEAR(Table2[[#This Row],[Order Date]])</f>
        <v>2025</v>
      </c>
    </row>
    <row r="364" spans="1:14" x14ac:dyDescent="0.3">
      <c r="A364" t="s">
        <v>812</v>
      </c>
      <c r="B364" t="s">
        <v>478</v>
      </c>
      <c r="C364" t="s">
        <v>79</v>
      </c>
      <c r="D364" t="s">
        <v>54</v>
      </c>
      <c r="E364" t="s">
        <v>55</v>
      </c>
      <c r="F364" t="s">
        <v>50</v>
      </c>
      <c r="G364" t="s">
        <v>51</v>
      </c>
      <c r="H364" t="s">
        <v>60</v>
      </c>
      <c r="I364">
        <v>4</v>
      </c>
      <c r="J364">
        <v>7659.12</v>
      </c>
      <c r="K364">
        <v>5240.4799999999996</v>
      </c>
      <c r="L364">
        <v>2418.64</v>
      </c>
      <c r="M364" s="5" t="str">
        <f>TEXT(Table2[[#This Row],[Order Date]],"mm")</f>
        <v>09</v>
      </c>
      <c r="N364">
        <f>YEAR(Table2[[#This Row],[Order Date]])</f>
        <v>2025</v>
      </c>
    </row>
    <row r="365" spans="1:14" x14ac:dyDescent="0.3">
      <c r="A365" t="s">
        <v>818</v>
      </c>
      <c r="B365" t="s">
        <v>678</v>
      </c>
      <c r="C365" t="s">
        <v>74</v>
      </c>
      <c r="D365" t="s">
        <v>48</v>
      </c>
      <c r="E365" t="s">
        <v>84</v>
      </c>
      <c r="F365" t="s">
        <v>17</v>
      </c>
      <c r="G365" t="s">
        <v>76</v>
      </c>
      <c r="H365" t="s">
        <v>39</v>
      </c>
      <c r="I365">
        <v>4</v>
      </c>
      <c r="J365">
        <v>5732.76</v>
      </c>
      <c r="K365">
        <v>3915.52</v>
      </c>
      <c r="L365">
        <v>1817.24</v>
      </c>
      <c r="M365" s="5" t="str">
        <f>TEXT(Table2[[#This Row],[Order Date]],"mm")</f>
        <v>09</v>
      </c>
      <c r="N365">
        <f>YEAR(Table2[[#This Row],[Order Date]])</f>
        <v>2025</v>
      </c>
    </row>
    <row r="366" spans="1:14" x14ac:dyDescent="0.3">
      <c r="A366" t="s">
        <v>841</v>
      </c>
      <c r="B366" t="s">
        <v>842</v>
      </c>
      <c r="C366" t="s">
        <v>103</v>
      </c>
      <c r="D366" t="s">
        <v>23</v>
      </c>
      <c r="E366" t="s">
        <v>37</v>
      </c>
      <c r="F366" t="s">
        <v>17</v>
      </c>
      <c r="G366" t="s">
        <v>116</v>
      </c>
      <c r="H366" t="s">
        <v>60</v>
      </c>
      <c r="I366">
        <v>6</v>
      </c>
      <c r="J366">
        <v>945.78</v>
      </c>
      <c r="K366">
        <v>814.44</v>
      </c>
      <c r="L366">
        <v>131.34</v>
      </c>
      <c r="M366" s="5" t="str">
        <f>TEXT(Table2[[#This Row],[Order Date]],"mm")</f>
        <v>09</v>
      </c>
      <c r="N366">
        <f>YEAR(Table2[[#This Row],[Order Date]])</f>
        <v>2025</v>
      </c>
    </row>
    <row r="367" spans="1:14" x14ac:dyDescent="0.3">
      <c r="A367" t="s">
        <v>844</v>
      </c>
      <c r="B367" t="s">
        <v>269</v>
      </c>
      <c r="C367" t="s">
        <v>143</v>
      </c>
      <c r="D367" t="s">
        <v>23</v>
      </c>
      <c r="E367" t="s">
        <v>43</v>
      </c>
      <c r="F367" t="s">
        <v>17</v>
      </c>
      <c r="G367" t="s">
        <v>116</v>
      </c>
      <c r="H367" t="s">
        <v>19</v>
      </c>
      <c r="I367">
        <v>5</v>
      </c>
      <c r="J367">
        <v>8078.85</v>
      </c>
      <c r="K367">
        <v>6896.4</v>
      </c>
      <c r="L367">
        <v>1182.45</v>
      </c>
      <c r="M367" s="5" t="str">
        <f>TEXT(Table2[[#This Row],[Order Date]],"mm")</f>
        <v>09</v>
      </c>
      <c r="N367">
        <f>YEAR(Table2[[#This Row],[Order Date]])</f>
        <v>2025</v>
      </c>
    </row>
    <row r="368" spans="1:14" x14ac:dyDescent="0.3">
      <c r="A368" t="s">
        <v>141</v>
      </c>
      <c r="B368" t="s">
        <v>142</v>
      </c>
      <c r="C368" t="s">
        <v>143</v>
      </c>
      <c r="D368" t="s">
        <v>54</v>
      </c>
      <c r="E368" t="s">
        <v>75</v>
      </c>
      <c r="F368" t="s">
        <v>50</v>
      </c>
      <c r="G368" t="s">
        <v>80</v>
      </c>
      <c r="H368" t="s">
        <v>44</v>
      </c>
      <c r="I368">
        <v>3</v>
      </c>
      <c r="J368">
        <v>6625.32</v>
      </c>
      <c r="K368">
        <v>4641.3599999999997</v>
      </c>
      <c r="L368">
        <v>1983.96</v>
      </c>
      <c r="M368" s="5" t="str">
        <f>TEXT(Table2[[#This Row],[Order Date]],"mm")</f>
        <v>10</v>
      </c>
      <c r="N368">
        <f>YEAR(Table2[[#This Row],[Order Date]])</f>
        <v>2025</v>
      </c>
    </row>
    <row r="369" spans="1:14" x14ac:dyDescent="0.3">
      <c r="A369" t="s">
        <v>150</v>
      </c>
      <c r="B369" t="s">
        <v>142</v>
      </c>
      <c r="C369" t="s">
        <v>132</v>
      </c>
      <c r="D369" t="s">
        <v>23</v>
      </c>
      <c r="E369" t="s">
        <v>37</v>
      </c>
      <c r="F369" t="s">
        <v>17</v>
      </c>
      <c r="G369" t="s">
        <v>38</v>
      </c>
      <c r="H369" t="s">
        <v>64</v>
      </c>
      <c r="I369">
        <v>8</v>
      </c>
      <c r="J369">
        <v>9109.6</v>
      </c>
      <c r="K369">
        <v>7583.12</v>
      </c>
      <c r="L369">
        <v>1526.48</v>
      </c>
      <c r="M369" s="5" t="str">
        <f>TEXT(Table2[[#This Row],[Order Date]],"mm")</f>
        <v>10</v>
      </c>
      <c r="N369">
        <f>YEAR(Table2[[#This Row],[Order Date]])</f>
        <v>2025</v>
      </c>
    </row>
    <row r="370" spans="1:14" x14ac:dyDescent="0.3">
      <c r="A370" t="s">
        <v>174</v>
      </c>
      <c r="B370" t="s">
        <v>175</v>
      </c>
      <c r="C370" t="s">
        <v>106</v>
      </c>
      <c r="D370" t="s">
        <v>23</v>
      </c>
      <c r="E370" t="s">
        <v>24</v>
      </c>
      <c r="F370" t="s">
        <v>50</v>
      </c>
      <c r="G370" t="s">
        <v>95</v>
      </c>
      <c r="H370" t="s">
        <v>85</v>
      </c>
      <c r="I370">
        <v>3</v>
      </c>
      <c r="J370">
        <v>5442.03</v>
      </c>
      <c r="K370">
        <v>3907.59</v>
      </c>
      <c r="L370">
        <v>1534.44</v>
      </c>
      <c r="M370" s="5" t="str">
        <f>TEXT(Table2[[#This Row],[Order Date]],"mm")</f>
        <v>10</v>
      </c>
      <c r="N370">
        <f>YEAR(Table2[[#This Row],[Order Date]])</f>
        <v>2025</v>
      </c>
    </row>
    <row r="371" spans="1:14" x14ac:dyDescent="0.3">
      <c r="A371" t="s">
        <v>198</v>
      </c>
      <c r="B371" t="s">
        <v>199</v>
      </c>
      <c r="C371" t="s">
        <v>113</v>
      </c>
      <c r="D371" t="s">
        <v>23</v>
      </c>
      <c r="E371" t="s">
        <v>43</v>
      </c>
      <c r="F371" t="s">
        <v>25</v>
      </c>
      <c r="G371" t="s">
        <v>56</v>
      </c>
      <c r="H371" t="s">
        <v>19</v>
      </c>
      <c r="I371">
        <v>9</v>
      </c>
      <c r="J371">
        <v>2370.2399999999998</v>
      </c>
      <c r="K371">
        <v>1706.22</v>
      </c>
      <c r="L371">
        <v>664.02</v>
      </c>
      <c r="M371" s="5" t="str">
        <f>TEXT(Table2[[#This Row],[Order Date]],"mm")</f>
        <v>10</v>
      </c>
      <c r="N371">
        <f>YEAR(Table2[[#This Row],[Order Date]])</f>
        <v>2025</v>
      </c>
    </row>
    <row r="372" spans="1:14" x14ac:dyDescent="0.3">
      <c r="A372" t="s">
        <v>218</v>
      </c>
      <c r="B372" t="s">
        <v>219</v>
      </c>
      <c r="C372" t="s">
        <v>14</v>
      </c>
      <c r="D372" t="s">
        <v>23</v>
      </c>
      <c r="E372" t="s">
        <v>59</v>
      </c>
      <c r="F372" t="s">
        <v>50</v>
      </c>
      <c r="G372" t="s">
        <v>110</v>
      </c>
      <c r="H372" t="s">
        <v>33</v>
      </c>
      <c r="I372">
        <v>9</v>
      </c>
      <c r="J372">
        <v>10673.19</v>
      </c>
      <c r="K372">
        <v>7171.29</v>
      </c>
      <c r="L372">
        <v>3501.9</v>
      </c>
      <c r="M372" s="5" t="str">
        <f>TEXT(Table2[[#This Row],[Order Date]],"mm")</f>
        <v>10</v>
      </c>
      <c r="N372">
        <f>YEAR(Table2[[#This Row],[Order Date]])</f>
        <v>2025</v>
      </c>
    </row>
    <row r="373" spans="1:14" x14ac:dyDescent="0.3">
      <c r="A373" t="s">
        <v>260</v>
      </c>
      <c r="B373" t="s">
        <v>261</v>
      </c>
      <c r="C373" t="s">
        <v>94</v>
      </c>
      <c r="D373" t="s">
        <v>54</v>
      </c>
      <c r="E373" t="s">
        <v>75</v>
      </c>
      <c r="F373" t="s">
        <v>50</v>
      </c>
      <c r="G373" t="s">
        <v>80</v>
      </c>
      <c r="H373" t="s">
        <v>27</v>
      </c>
      <c r="I373">
        <v>2</v>
      </c>
      <c r="J373">
        <v>3404.94</v>
      </c>
      <c r="K373">
        <v>2145.84</v>
      </c>
      <c r="L373">
        <v>1259.0999999999999</v>
      </c>
      <c r="M373" s="5" t="str">
        <f>TEXT(Table2[[#This Row],[Order Date]],"mm")</f>
        <v>10</v>
      </c>
      <c r="N373">
        <f>YEAR(Table2[[#This Row],[Order Date]])</f>
        <v>2025</v>
      </c>
    </row>
    <row r="374" spans="1:14" x14ac:dyDescent="0.3">
      <c r="A374" t="s">
        <v>302</v>
      </c>
      <c r="B374" t="s">
        <v>303</v>
      </c>
      <c r="C374" t="s">
        <v>47</v>
      </c>
      <c r="D374" t="s">
        <v>48</v>
      </c>
      <c r="E374" t="s">
        <v>84</v>
      </c>
      <c r="F374" t="s">
        <v>50</v>
      </c>
      <c r="G374" t="s">
        <v>51</v>
      </c>
      <c r="H374" t="s">
        <v>33</v>
      </c>
      <c r="I374">
        <v>1</v>
      </c>
      <c r="J374">
        <v>1049.01</v>
      </c>
      <c r="K374">
        <v>661.21</v>
      </c>
      <c r="L374">
        <v>387.8</v>
      </c>
      <c r="M374" s="5" t="str">
        <f>TEXT(Table2[[#This Row],[Order Date]],"mm")</f>
        <v>10</v>
      </c>
      <c r="N374">
        <f>YEAR(Table2[[#This Row],[Order Date]])</f>
        <v>2025</v>
      </c>
    </row>
    <row r="375" spans="1:14" x14ac:dyDescent="0.3">
      <c r="A375" t="s">
        <v>304</v>
      </c>
      <c r="B375" t="s">
        <v>305</v>
      </c>
      <c r="C375" t="s">
        <v>74</v>
      </c>
      <c r="D375" t="s">
        <v>48</v>
      </c>
      <c r="E375" t="s">
        <v>107</v>
      </c>
      <c r="F375" t="s">
        <v>17</v>
      </c>
      <c r="G375" t="s">
        <v>63</v>
      </c>
      <c r="H375" t="s">
        <v>64</v>
      </c>
      <c r="I375">
        <v>2</v>
      </c>
      <c r="J375">
        <v>4550.7</v>
      </c>
      <c r="K375">
        <v>3030.36</v>
      </c>
      <c r="L375">
        <v>1520.34</v>
      </c>
      <c r="M375" s="5" t="str">
        <f>TEXT(Table2[[#This Row],[Order Date]],"mm")</f>
        <v>10</v>
      </c>
      <c r="N375">
        <f>YEAR(Table2[[#This Row],[Order Date]])</f>
        <v>2025</v>
      </c>
    </row>
    <row r="376" spans="1:14" x14ac:dyDescent="0.3">
      <c r="A376" t="s">
        <v>308</v>
      </c>
      <c r="B376" t="s">
        <v>219</v>
      </c>
      <c r="C376" t="s">
        <v>132</v>
      </c>
      <c r="D376" t="s">
        <v>15</v>
      </c>
      <c r="E376" t="s">
        <v>16</v>
      </c>
      <c r="F376" t="s">
        <v>50</v>
      </c>
      <c r="G376" t="s">
        <v>110</v>
      </c>
      <c r="H376" t="s">
        <v>44</v>
      </c>
      <c r="I376">
        <v>5</v>
      </c>
      <c r="J376">
        <v>3898.6</v>
      </c>
      <c r="K376">
        <v>3321.05</v>
      </c>
      <c r="L376">
        <v>577.54999999999995</v>
      </c>
      <c r="M376" s="5" t="str">
        <f>TEXT(Table2[[#This Row],[Order Date]],"mm")</f>
        <v>10</v>
      </c>
      <c r="N376">
        <f>YEAR(Table2[[#This Row],[Order Date]])</f>
        <v>2025</v>
      </c>
    </row>
    <row r="377" spans="1:14" x14ac:dyDescent="0.3">
      <c r="A377" t="s">
        <v>326</v>
      </c>
      <c r="B377" t="s">
        <v>327</v>
      </c>
      <c r="C377" t="s">
        <v>14</v>
      </c>
      <c r="D377" t="s">
        <v>23</v>
      </c>
      <c r="E377" t="s">
        <v>37</v>
      </c>
      <c r="F377" t="s">
        <v>25</v>
      </c>
      <c r="G377" t="s">
        <v>32</v>
      </c>
      <c r="H377" t="s">
        <v>64</v>
      </c>
      <c r="I377">
        <v>9</v>
      </c>
      <c r="J377">
        <v>16385.04</v>
      </c>
      <c r="K377">
        <v>13507.47</v>
      </c>
      <c r="L377">
        <v>2877.57</v>
      </c>
      <c r="M377" s="5" t="str">
        <f>TEXT(Table2[[#This Row],[Order Date]],"mm")</f>
        <v>10</v>
      </c>
      <c r="N377">
        <f>YEAR(Table2[[#This Row],[Order Date]])</f>
        <v>2025</v>
      </c>
    </row>
    <row r="378" spans="1:14" x14ac:dyDescent="0.3">
      <c r="A378" t="s">
        <v>346</v>
      </c>
      <c r="B378" t="s">
        <v>347</v>
      </c>
      <c r="C378" t="s">
        <v>161</v>
      </c>
      <c r="D378" t="s">
        <v>48</v>
      </c>
      <c r="E378" t="s">
        <v>67</v>
      </c>
      <c r="F378" t="s">
        <v>17</v>
      </c>
      <c r="G378" t="s">
        <v>63</v>
      </c>
      <c r="H378" t="s">
        <v>85</v>
      </c>
      <c r="I378">
        <v>8</v>
      </c>
      <c r="J378">
        <v>9249.52</v>
      </c>
      <c r="K378">
        <v>7135.76</v>
      </c>
      <c r="L378">
        <v>2113.7600000000002</v>
      </c>
      <c r="M378" s="5" t="str">
        <f>TEXT(Table2[[#This Row],[Order Date]],"mm")</f>
        <v>10</v>
      </c>
      <c r="N378">
        <f>YEAR(Table2[[#This Row],[Order Date]])</f>
        <v>2025</v>
      </c>
    </row>
    <row r="379" spans="1:14" x14ac:dyDescent="0.3">
      <c r="A379" t="s">
        <v>369</v>
      </c>
      <c r="B379" t="s">
        <v>199</v>
      </c>
      <c r="C379" t="s">
        <v>42</v>
      </c>
      <c r="D379" t="s">
        <v>48</v>
      </c>
      <c r="E379" t="s">
        <v>84</v>
      </c>
      <c r="F379" t="s">
        <v>17</v>
      </c>
      <c r="G379" t="s">
        <v>18</v>
      </c>
      <c r="H379" t="s">
        <v>39</v>
      </c>
      <c r="I379">
        <v>1</v>
      </c>
      <c r="J379">
        <v>260.04000000000002</v>
      </c>
      <c r="K379">
        <v>167.54</v>
      </c>
      <c r="L379">
        <v>92.5</v>
      </c>
      <c r="M379" s="5" t="str">
        <f>TEXT(Table2[[#This Row],[Order Date]],"mm")</f>
        <v>10</v>
      </c>
      <c r="N379">
        <f>YEAR(Table2[[#This Row],[Order Date]])</f>
        <v>2025</v>
      </c>
    </row>
    <row r="380" spans="1:14" x14ac:dyDescent="0.3">
      <c r="A380" t="s">
        <v>393</v>
      </c>
      <c r="B380" t="s">
        <v>305</v>
      </c>
      <c r="C380" t="s">
        <v>132</v>
      </c>
      <c r="D380" t="s">
        <v>23</v>
      </c>
      <c r="E380" t="s">
        <v>59</v>
      </c>
      <c r="F380" t="s">
        <v>17</v>
      </c>
      <c r="G380" t="s">
        <v>63</v>
      </c>
      <c r="H380" t="s">
        <v>33</v>
      </c>
      <c r="I380">
        <v>4</v>
      </c>
      <c r="J380">
        <v>4712.24</v>
      </c>
      <c r="K380">
        <v>2948.32</v>
      </c>
      <c r="L380">
        <v>1763.92</v>
      </c>
      <c r="M380" s="5" t="str">
        <f>TEXT(Table2[[#This Row],[Order Date]],"mm")</f>
        <v>10</v>
      </c>
      <c r="N380">
        <f>YEAR(Table2[[#This Row],[Order Date]])</f>
        <v>2025</v>
      </c>
    </row>
    <row r="381" spans="1:14" x14ac:dyDescent="0.3">
      <c r="A381" t="s">
        <v>399</v>
      </c>
      <c r="B381" t="s">
        <v>400</v>
      </c>
      <c r="C381" t="s">
        <v>335</v>
      </c>
      <c r="D381" t="s">
        <v>15</v>
      </c>
      <c r="E381" t="s">
        <v>183</v>
      </c>
      <c r="F381" t="s">
        <v>17</v>
      </c>
      <c r="G381" t="s">
        <v>18</v>
      </c>
      <c r="H381" t="s">
        <v>64</v>
      </c>
      <c r="I381">
        <v>8</v>
      </c>
      <c r="J381">
        <v>15415.04</v>
      </c>
      <c r="K381">
        <v>13068</v>
      </c>
      <c r="L381">
        <v>2347.04</v>
      </c>
      <c r="M381" s="5" t="str">
        <f>TEXT(Table2[[#This Row],[Order Date]],"mm")</f>
        <v>10</v>
      </c>
      <c r="N381">
        <f>YEAR(Table2[[#This Row],[Order Date]])</f>
        <v>2025</v>
      </c>
    </row>
    <row r="382" spans="1:14" x14ac:dyDescent="0.3">
      <c r="A382" t="s">
        <v>428</v>
      </c>
      <c r="B382" t="s">
        <v>429</v>
      </c>
      <c r="C382" t="s">
        <v>83</v>
      </c>
      <c r="D382" t="s">
        <v>15</v>
      </c>
      <c r="E382" t="s">
        <v>183</v>
      </c>
      <c r="F382" t="s">
        <v>17</v>
      </c>
      <c r="G382" t="s">
        <v>76</v>
      </c>
      <c r="H382" t="s">
        <v>44</v>
      </c>
      <c r="I382">
        <v>4</v>
      </c>
      <c r="J382">
        <v>6742.8</v>
      </c>
      <c r="K382">
        <v>5257.64</v>
      </c>
      <c r="L382">
        <v>1485.16</v>
      </c>
      <c r="M382" s="5" t="str">
        <f>TEXT(Table2[[#This Row],[Order Date]],"mm")</f>
        <v>10</v>
      </c>
      <c r="N382">
        <f>YEAR(Table2[[#This Row],[Order Date]])</f>
        <v>2025</v>
      </c>
    </row>
    <row r="383" spans="1:14" x14ac:dyDescent="0.3">
      <c r="A383" t="s">
        <v>430</v>
      </c>
      <c r="B383" t="s">
        <v>400</v>
      </c>
      <c r="C383" t="s">
        <v>30</v>
      </c>
      <c r="D383" t="s">
        <v>54</v>
      </c>
      <c r="E383" t="s">
        <v>75</v>
      </c>
      <c r="F383" t="s">
        <v>50</v>
      </c>
      <c r="G383" t="s">
        <v>110</v>
      </c>
      <c r="H383" t="s">
        <v>64</v>
      </c>
      <c r="I383">
        <v>8</v>
      </c>
      <c r="J383">
        <v>17452.64</v>
      </c>
      <c r="K383">
        <v>11269.12</v>
      </c>
      <c r="L383">
        <v>6183.52</v>
      </c>
      <c r="M383" s="5" t="str">
        <f>TEXT(Table2[[#This Row],[Order Date]],"mm")</f>
        <v>10</v>
      </c>
      <c r="N383">
        <f>YEAR(Table2[[#This Row],[Order Date]])</f>
        <v>2025</v>
      </c>
    </row>
    <row r="384" spans="1:14" x14ac:dyDescent="0.3">
      <c r="A384" t="s">
        <v>442</v>
      </c>
      <c r="B384" t="s">
        <v>305</v>
      </c>
      <c r="C384" t="s">
        <v>30</v>
      </c>
      <c r="D384" t="s">
        <v>54</v>
      </c>
      <c r="E384" t="s">
        <v>98</v>
      </c>
      <c r="F384" t="s">
        <v>17</v>
      </c>
      <c r="G384" t="s">
        <v>116</v>
      </c>
      <c r="H384" t="s">
        <v>19</v>
      </c>
      <c r="I384">
        <v>7</v>
      </c>
      <c r="J384">
        <v>9755.69</v>
      </c>
      <c r="K384">
        <v>6828.08</v>
      </c>
      <c r="L384">
        <v>2927.61</v>
      </c>
      <c r="M384" s="5" t="str">
        <f>TEXT(Table2[[#This Row],[Order Date]],"mm")</f>
        <v>10</v>
      </c>
      <c r="N384">
        <f>YEAR(Table2[[#This Row],[Order Date]])</f>
        <v>2025</v>
      </c>
    </row>
    <row r="385" spans="1:14" x14ac:dyDescent="0.3">
      <c r="A385" t="s">
        <v>461</v>
      </c>
      <c r="B385" t="s">
        <v>303</v>
      </c>
      <c r="C385" t="s">
        <v>106</v>
      </c>
      <c r="D385" t="s">
        <v>23</v>
      </c>
      <c r="E385" t="s">
        <v>37</v>
      </c>
      <c r="F385" t="s">
        <v>25</v>
      </c>
      <c r="G385" t="s">
        <v>71</v>
      </c>
      <c r="H385" t="s">
        <v>39</v>
      </c>
      <c r="I385">
        <v>9</v>
      </c>
      <c r="J385">
        <v>14541.93</v>
      </c>
      <c r="K385">
        <v>11549.7</v>
      </c>
      <c r="L385">
        <v>2992.23</v>
      </c>
      <c r="M385" s="5" t="str">
        <f>TEXT(Table2[[#This Row],[Order Date]],"mm")</f>
        <v>10</v>
      </c>
      <c r="N385">
        <f>YEAR(Table2[[#This Row],[Order Date]])</f>
        <v>2025</v>
      </c>
    </row>
    <row r="386" spans="1:14" x14ac:dyDescent="0.3">
      <c r="A386" t="s">
        <v>491</v>
      </c>
      <c r="B386" t="s">
        <v>303</v>
      </c>
      <c r="C386" t="s">
        <v>132</v>
      </c>
      <c r="D386" t="s">
        <v>23</v>
      </c>
      <c r="E386" t="s">
        <v>59</v>
      </c>
      <c r="F386" t="s">
        <v>25</v>
      </c>
      <c r="G386" t="s">
        <v>158</v>
      </c>
      <c r="H386" t="s">
        <v>64</v>
      </c>
      <c r="I386">
        <v>3</v>
      </c>
      <c r="J386">
        <v>3006.6</v>
      </c>
      <c r="K386">
        <v>2240.8200000000002</v>
      </c>
      <c r="L386">
        <v>765.78</v>
      </c>
      <c r="M386" s="5" t="str">
        <f>TEXT(Table2[[#This Row],[Order Date]],"mm")</f>
        <v>10</v>
      </c>
      <c r="N386">
        <f>YEAR(Table2[[#This Row],[Order Date]])</f>
        <v>2025</v>
      </c>
    </row>
    <row r="387" spans="1:14" x14ac:dyDescent="0.3">
      <c r="A387" t="s">
        <v>497</v>
      </c>
      <c r="B387" t="s">
        <v>347</v>
      </c>
      <c r="C387" t="s">
        <v>22</v>
      </c>
      <c r="D387" t="s">
        <v>23</v>
      </c>
      <c r="E387" t="s">
        <v>24</v>
      </c>
      <c r="F387" t="s">
        <v>25</v>
      </c>
      <c r="G387" t="s">
        <v>158</v>
      </c>
      <c r="H387" t="s">
        <v>27</v>
      </c>
      <c r="I387">
        <v>4</v>
      </c>
      <c r="J387">
        <v>8280</v>
      </c>
      <c r="K387">
        <v>6138.52</v>
      </c>
      <c r="L387">
        <v>2141.48</v>
      </c>
      <c r="M387" s="5" t="str">
        <f>TEXT(Table2[[#This Row],[Order Date]],"mm")</f>
        <v>10</v>
      </c>
      <c r="N387">
        <f>YEAR(Table2[[#This Row],[Order Date]])</f>
        <v>2025</v>
      </c>
    </row>
    <row r="388" spans="1:14" x14ac:dyDescent="0.3">
      <c r="A388" t="s">
        <v>501</v>
      </c>
      <c r="B388" t="s">
        <v>175</v>
      </c>
      <c r="C388" t="s">
        <v>206</v>
      </c>
      <c r="D388" t="s">
        <v>54</v>
      </c>
      <c r="E388" t="s">
        <v>98</v>
      </c>
      <c r="F388" t="s">
        <v>25</v>
      </c>
      <c r="G388" t="s">
        <v>32</v>
      </c>
      <c r="H388" t="s">
        <v>39</v>
      </c>
      <c r="I388">
        <v>4</v>
      </c>
      <c r="J388">
        <v>2488.8000000000002</v>
      </c>
      <c r="K388">
        <v>1985.16</v>
      </c>
      <c r="L388">
        <v>503.64</v>
      </c>
      <c r="M388" s="5" t="str">
        <f>TEXT(Table2[[#This Row],[Order Date]],"mm")</f>
        <v>10</v>
      </c>
      <c r="N388">
        <f>YEAR(Table2[[#This Row],[Order Date]])</f>
        <v>2025</v>
      </c>
    </row>
    <row r="389" spans="1:14" x14ac:dyDescent="0.3">
      <c r="A389" t="s">
        <v>514</v>
      </c>
      <c r="B389" t="s">
        <v>515</v>
      </c>
      <c r="C389" t="s">
        <v>47</v>
      </c>
      <c r="D389" t="s">
        <v>54</v>
      </c>
      <c r="E389" t="s">
        <v>55</v>
      </c>
      <c r="F389" t="s">
        <v>25</v>
      </c>
      <c r="G389" t="s">
        <v>56</v>
      </c>
      <c r="H389" t="s">
        <v>64</v>
      </c>
      <c r="I389">
        <v>1</v>
      </c>
      <c r="J389">
        <v>509.96</v>
      </c>
      <c r="K389">
        <v>347.14</v>
      </c>
      <c r="L389">
        <v>162.82</v>
      </c>
      <c r="M389" s="5" t="str">
        <f>TEXT(Table2[[#This Row],[Order Date]],"mm")</f>
        <v>10</v>
      </c>
      <c r="N389">
        <f>YEAR(Table2[[#This Row],[Order Date]])</f>
        <v>2025</v>
      </c>
    </row>
    <row r="390" spans="1:14" x14ac:dyDescent="0.3">
      <c r="A390" t="s">
        <v>522</v>
      </c>
      <c r="B390" t="s">
        <v>523</v>
      </c>
      <c r="C390" t="s">
        <v>161</v>
      </c>
      <c r="D390" t="s">
        <v>54</v>
      </c>
      <c r="E390" t="s">
        <v>75</v>
      </c>
      <c r="F390" t="s">
        <v>17</v>
      </c>
      <c r="G390" t="s">
        <v>116</v>
      </c>
      <c r="H390" t="s">
        <v>27</v>
      </c>
      <c r="I390">
        <v>9</v>
      </c>
      <c r="J390">
        <v>17058.419999999998</v>
      </c>
      <c r="K390">
        <v>13059.18</v>
      </c>
      <c r="L390">
        <v>3999.24</v>
      </c>
      <c r="M390" s="5" t="str">
        <f>TEXT(Table2[[#This Row],[Order Date]],"mm")</f>
        <v>10</v>
      </c>
      <c r="N390">
        <f>YEAR(Table2[[#This Row],[Order Date]])</f>
        <v>2025</v>
      </c>
    </row>
    <row r="391" spans="1:14" x14ac:dyDescent="0.3">
      <c r="A391" t="s">
        <v>524</v>
      </c>
      <c r="B391" t="s">
        <v>199</v>
      </c>
      <c r="C391" t="s">
        <v>113</v>
      </c>
      <c r="D391" t="s">
        <v>23</v>
      </c>
      <c r="E391" t="s">
        <v>43</v>
      </c>
      <c r="F391" t="s">
        <v>17</v>
      </c>
      <c r="G391" t="s">
        <v>116</v>
      </c>
      <c r="H391" t="s">
        <v>27</v>
      </c>
      <c r="I391">
        <v>9</v>
      </c>
      <c r="J391">
        <v>5886.81</v>
      </c>
      <c r="K391">
        <v>5030.91</v>
      </c>
      <c r="L391">
        <v>855.9</v>
      </c>
      <c r="M391" s="5" t="str">
        <f>TEXT(Table2[[#This Row],[Order Date]],"mm")</f>
        <v>10</v>
      </c>
      <c r="N391">
        <f>YEAR(Table2[[#This Row],[Order Date]])</f>
        <v>2025</v>
      </c>
    </row>
    <row r="392" spans="1:14" x14ac:dyDescent="0.3">
      <c r="A392" t="s">
        <v>525</v>
      </c>
      <c r="B392" t="s">
        <v>305</v>
      </c>
      <c r="C392" t="s">
        <v>36</v>
      </c>
      <c r="D392" t="s">
        <v>15</v>
      </c>
      <c r="E392" t="s">
        <v>89</v>
      </c>
      <c r="F392" t="s">
        <v>50</v>
      </c>
      <c r="G392" t="s">
        <v>110</v>
      </c>
      <c r="H392" t="s">
        <v>19</v>
      </c>
      <c r="I392">
        <v>6</v>
      </c>
      <c r="J392">
        <v>12260.64</v>
      </c>
      <c r="K392">
        <v>7822.38</v>
      </c>
      <c r="L392">
        <v>4438.26</v>
      </c>
      <c r="M392" s="5" t="str">
        <f>TEXT(Table2[[#This Row],[Order Date]],"mm")</f>
        <v>10</v>
      </c>
      <c r="N392">
        <f>YEAR(Table2[[#This Row],[Order Date]])</f>
        <v>2025</v>
      </c>
    </row>
    <row r="393" spans="1:14" x14ac:dyDescent="0.3">
      <c r="A393" t="s">
        <v>531</v>
      </c>
      <c r="B393" t="s">
        <v>532</v>
      </c>
      <c r="C393" t="s">
        <v>113</v>
      </c>
      <c r="D393" t="s">
        <v>15</v>
      </c>
      <c r="E393" t="s">
        <v>89</v>
      </c>
      <c r="F393" t="s">
        <v>50</v>
      </c>
      <c r="G393" t="s">
        <v>51</v>
      </c>
      <c r="H393" t="s">
        <v>44</v>
      </c>
      <c r="I393">
        <v>3</v>
      </c>
      <c r="J393">
        <v>563.82000000000005</v>
      </c>
      <c r="K393">
        <v>416.16</v>
      </c>
      <c r="L393">
        <v>147.66</v>
      </c>
      <c r="M393" s="5" t="str">
        <f>TEXT(Table2[[#This Row],[Order Date]],"mm")</f>
        <v>10</v>
      </c>
      <c r="N393">
        <f>YEAR(Table2[[#This Row],[Order Date]])</f>
        <v>2025</v>
      </c>
    </row>
    <row r="394" spans="1:14" x14ac:dyDescent="0.3">
      <c r="A394" t="s">
        <v>534</v>
      </c>
      <c r="B394" t="s">
        <v>175</v>
      </c>
      <c r="C394" t="s">
        <v>83</v>
      </c>
      <c r="D394" t="s">
        <v>23</v>
      </c>
      <c r="E394" t="s">
        <v>43</v>
      </c>
      <c r="F394" t="s">
        <v>25</v>
      </c>
      <c r="G394" t="s">
        <v>71</v>
      </c>
      <c r="H394" t="s">
        <v>27</v>
      </c>
      <c r="I394">
        <v>3</v>
      </c>
      <c r="J394">
        <v>3241.08</v>
      </c>
      <c r="K394">
        <v>2796.24</v>
      </c>
      <c r="L394">
        <v>444.84</v>
      </c>
      <c r="M394" s="5" t="str">
        <f>TEXT(Table2[[#This Row],[Order Date]],"mm")</f>
        <v>10</v>
      </c>
      <c r="N394">
        <f>YEAR(Table2[[#This Row],[Order Date]])</f>
        <v>2025</v>
      </c>
    </row>
    <row r="395" spans="1:14" x14ac:dyDescent="0.3">
      <c r="A395" t="s">
        <v>550</v>
      </c>
      <c r="B395" t="s">
        <v>551</v>
      </c>
      <c r="C395" t="s">
        <v>103</v>
      </c>
      <c r="D395" t="s">
        <v>15</v>
      </c>
      <c r="E395" t="s">
        <v>31</v>
      </c>
      <c r="F395" t="s">
        <v>17</v>
      </c>
      <c r="G395" t="s">
        <v>38</v>
      </c>
      <c r="H395" t="s">
        <v>39</v>
      </c>
      <c r="I395">
        <v>2</v>
      </c>
      <c r="J395">
        <v>3867.62</v>
      </c>
      <c r="K395">
        <v>2681.88</v>
      </c>
      <c r="L395">
        <v>1185.74</v>
      </c>
      <c r="M395" s="5" t="str">
        <f>TEXT(Table2[[#This Row],[Order Date]],"mm")</f>
        <v>10</v>
      </c>
      <c r="N395">
        <f>YEAR(Table2[[#This Row],[Order Date]])</f>
        <v>2025</v>
      </c>
    </row>
    <row r="396" spans="1:14" x14ac:dyDescent="0.3">
      <c r="A396" t="s">
        <v>563</v>
      </c>
      <c r="B396" t="s">
        <v>564</v>
      </c>
      <c r="C396" t="s">
        <v>132</v>
      </c>
      <c r="D396" t="s">
        <v>48</v>
      </c>
      <c r="E396" t="s">
        <v>49</v>
      </c>
      <c r="F396" t="s">
        <v>50</v>
      </c>
      <c r="G396" t="s">
        <v>80</v>
      </c>
      <c r="H396" t="s">
        <v>64</v>
      </c>
      <c r="I396">
        <v>7</v>
      </c>
      <c r="J396">
        <v>8585.7800000000007</v>
      </c>
      <c r="K396">
        <v>5785.29</v>
      </c>
      <c r="L396">
        <v>2800.49</v>
      </c>
      <c r="M396" s="5" t="str">
        <f>TEXT(Table2[[#This Row],[Order Date]],"mm")</f>
        <v>10</v>
      </c>
      <c r="N396">
        <f>YEAR(Table2[[#This Row],[Order Date]])</f>
        <v>2025</v>
      </c>
    </row>
    <row r="397" spans="1:14" x14ac:dyDescent="0.3">
      <c r="A397" t="s">
        <v>573</v>
      </c>
      <c r="B397" t="s">
        <v>327</v>
      </c>
      <c r="C397" t="s">
        <v>36</v>
      </c>
      <c r="D397" t="s">
        <v>23</v>
      </c>
      <c r="E397" t="s">
        <v>24</v>
      </c>
      <c r="F397" t="s">
        <v>50</v>
      </c>
      <c r="G397" t="s">
        <v>110</v>
      </c>
      <c r="H397" t="s">
        <v>27</v>
      </c>
      <c r="I397">
        <v>1</v>
      </c>
      <c r="J397">
        <v>2236.4</v>
      </c>
      <c r="K397">
        <v>1604.62</v>
      </c>
      <c r="L397">
        <v>631.78</v>
      </c>
      <c r="M397" s="5" t="str">
        <f>TEXT(Table2[[#This Row],[Order Date]],"mm")</f>
        <v>10</v>
      </c>
      <c r="N397">
        <f>YEAR(Table2[[#This Row],[Order Date]])</f>
        <v>2025</v>
      </c>
    </row>
    <row r="398" spans="1:14" x14ac:dyDescent="0.3">
      <c r="A398" t="s">
        <v>582</v>
      </c>
      <c r="B398" t="s">
        <v>199</v>
      </c>
      <c r="C398" t="s">
        <v>335</v>
      </c>
      <c r="D398" t="s">
        <v>15</v>
      </c>
      <c r="E398" t="s">
        <v>31</v>
      </c>
      <c r="F398" t="s">
        <v>25</v>
      </c>
      <c r="G398" t="s">
        <v>56</v>
      </c>
      <c r="H398" t="s">
        <v>64</v>
      </c>
      <c r="I398">
        <v>10</v>
      </c>
      <c r="J398">
        <v>24408.9</v>
      </c>
      <c r="K398">
        <v>17650.400000000001</v>
      </c>
      <c r="L398">
        <v>6758.5</v>
      </c>
      <c r="M398" s="5" t="str">
        <f>TEXT(Table2[[#This Row],[Order Date]],"mm")</f>
        <v>10</v>
      </c>
      <c r="N398">
        <f>YEAR(Table2[[#This Row],[Order Date]])</f>
        <v>2025</v>
      </c>
    </row>
    <row r="399" spans="1:14" x14ac:dyDescent="0.3">
      <c r="A399" t="s">
        <v>617</v>
      </c>
      <c r="B399" t="s">
        <v>303</v>
      </c>
      <c r="C399" t="s">
        <v>106</v>
      </c>
      <c r="D399" t="s">
        <v>48</v>
      </c>
      <c r="E399" t="s">
        <v>84</v>
      </c>
      <c r="F399" t="s">
        <v>50</v>
      </c>
      <c r="G399" t="s">
        <v>134</v>
      </c>
      <c r="H399" t="s">
        <v>39</v>
      </c>
      <c r="I399">
        <v>6</v>
      </c>
      <c r="J399">
        <v>6587.94</v>
      </c>
      <c r="K399">
        <v>5569.26</v>
      </c>
      <c r="L399">
        <v>1018.68</v>
      </c>
      <c r="M399" s="5" t="str">
        <f>TEXT(Table2[[#This Row],[Order Date]],"mm")</f>
        <v>10</v>
      </c>
      <c r="N399">
        <f>YEAR(Table2[[#This Row],[Order Date]])</f>
        <v>2025</v>
      </c>
    </row>
    <row r="400" spans="1:14" x14ac:dyDescent="0.3">
      <c r="A400" t="s">
        <v>664</v>
      </c>
      <c r="B400" t="s">
        <v>665</v>
      </c>
      <c r="C400" t="s">
        <v>47</v>
      </c>
      <c r="D400" t="s">
        <v>54</v>
      </c>
      <c r="E400" t="s">
        <v>55</v>
      </c>
      <c r="F400" t="s">
        <v>17</v>
      </c>
      <c r="G400" t="s">
        <v>63</v>
      </c>
      <c r="H400" t="s">
        <v>60</v>
      </c>
      <c r="I400">
        <v>9</v>
      </c>
      <c r="J400">
        <v>6202.35</v>
      </c>
      <c r="K400">
        <v>4847.8500000000004</v>
      </c>
      <c r="L400">
        <v>1354.5</v>
      </c>
      <c r="M400" s="5" t="str">
        <f>TEXT(Table2[[#This Row],[Order Date]],"mm")</f>
        <v>10</v>
      </c>
      <c r="N400">
        <f>YEAR(Table2[[#This Row],[Order Date]])</f>
        <v>2025</v>
      </c>
    </row>
    <row r="401" spans="1:14" x14ac:dyDescent="0.3">
      <c r="A401" t="s">
        <v>668</v>
      </c>
      <c r="B401" t="s">
        <v>523</v>
      </c>
      <c r="C401" t="s">
        <v>113</v>
      </c>
      <c r="D401" t="s">
        <v>15</v>
      </c>
      <c r="E401" t="s">
        <v>31</v>
      </c>
      <c r="F401" t="s">
        <v>17</v>
      </c>
      <c r="G401" t="s">
        <v>116</v>
      </c>
      <c r="H401" t="s">
        <v>27</v>
      </c>
      <c r="I401">
        <v>5</v>
      </c>
      <c r="J401">
        <v>7744.25</v>
      </c>
      <c r="K401">
        <v>6583.25</v>
      </c>
      <c r="L401">
        <v>1161</v>
      </c>
      <c r="M401" s="5" t="str">
        <f>TEXT(Table2[[#This Row],[Order Date]],"mm")</f>
        <v>10</v>
      </c>
      <c r="N401">
        <f>YEAR(Table2[[#This Row],[Order Date]])</f>
        <v>2025</v>
      </c>
    </row>
    <row r="402" spans="1:14" x14ac:dyDescent="0.3">
      <c r="A402" t="s">
        <v>679</v>
      </c>
      <c r="B402" t="s">
        <v>680</v>
      </c>
      <c r="C402" t="s">
        <v>74</v>
      </c>
      <c r="D402" t="s">
        <v>48</v>
      </c>
      <c r="E402" t="s">
        <v>107</v>
      </c>
      <c r="F402" t="s">
        <v>17</v>
      </c>
      <c r="G402" t="s">
        <v>18</v>
      </c>
      <c r="H402" t="s">
        <v>39</v>
      </c>
      <c r="I402">
        <v>10</v>
      </c>
      <c r="J402">
        <v>25949.5</v>
      </c>
      <c r="K402">
        <v>16554.900000000001</v>
      </c>
      <c r="L402">
        <v>9394.6</v>
      </c>
      <c r="M402" s="5" t="str">
        <f>TEXT(Table2[[#This Row],[Order Date]],"mm")</f>
        <v>10</v>
      </c>
      <c r="N402">
        <f>YEAR(Table2[[#This Row],[Order Date]])</f>
        <v>2025</v>
      </c>
    </row>
    <row r="403" spans="1:14" x14ac:dyDescent="0.3">
      <c r="A403" t="s">
        <v>683</v>
      </c>
      <c r="B403" t="s">
        <v>400</v>
      </c>
      <c r="C403" t="s">
        <v>36</v>
      </c>
      <c r="D403" t="s">
        <v>54</v>
      </c>
      <c r="E403" t="s">
        <v>98</v>
      </c>
      <c r="F403" t="s">
        <v>25</v>
      </c>
      <c r="G403" t="s">
        <v>32</v>
      </c>
      <c r="H403" t="s">
        <v>27</v>
      </c>
      <c r="I403">
        <v>3</v>
      </c>
      <c r="J403">
        <v>1066.47</v>
      </c>
      <c r="K403">
        <v>670.08</v>
      </c>
      <c r="L403">
        <v>396.39</v>
      </c>
      <c r="M403" s="5" t="str">
        <f>TEXT(Table2[[#This Row],[Order Date]],"mm")</f>
        <v>10</v>
      </c>
      <c r="N403">
        <f>YEAR(Table2[[#This Row],[Order Date]])</f>
        <v>2025</v>
      </c>
    </row>
    <row r="404" spans="1:14" x14ac:dyDescent="0.3">
      <c r="A404" t="s">
        <v>691</v>
      </c>
      <c r="B404" t="s">
        <v>515</v>
      </c>
      <c r="C404" t="s">
        <v>103</v>
      </c>
      <c r="D404" t="s">
        <v>23</v>
      </c>
      <c r="E404" t="s">
        <v>59</v>
      </c>
      <c r="F404" t="s">
        <v>25</v>
      </c>
      <c r="G404" t="s">
        <v>32</v>
      </c>
      <c r="H404" t="s">
        <v>19</v>
      </c>
      <c r="I404">
        <v>2</v>
      </c>
      <c r="J404">
        <v>2035.84</v>
      </c>
      <c r="K404">
        <v>1301.22</v>
      </c>
      <c r="L404">
        <v>734.62</v>
      </c>
      <c r="M404" s="5" t="str">
        <f>TEXT(Table2[[#This Row],[Order Date]],"mm")</f>
        <v>10</v>
      </c>
      <c r="N404">
        <f>YEAR(Table2[[#This Row],[Order Date]])</f>
        <v>2025</v>
      </c>
    </row>
    <row r="405" spans="1:14" x14ac:dyDescent="0.3">
      <c r="A405" t="s">
        <v>731</v>
      </c>
      <c r="B405" t="s">
        <v>732</v>
      </c>
      <c r="C405" t="s">
        <v>36</v>
      </c>
      <c r="D405" t="s">
        <v>54</v>
      </c>
      <c r="E405" t="s">
        <v>98</v>
      </c>
      <c r="F405" t="s">
        <v>50</v>
      </c>
      <c r="G405" t="s">
        <v>80</v>
      </c>
      <c r="H405" t="s">
        <v>64</v>
      </c>
      <c r="I405">
        <v>3</v>
      </c>
      <c r="J405">
        <v>986.52</v>
      </c>
      <c r="K405">
        <v>663.93</v>
      </c>
      <c r="L405">
        <v>322.58999999999997</v>
      </c>
      <c r="M405" s="5" t="str">
        <f>TEXT(Table2[[#This Row],[Order Date]],"mm")</f>
        <v>10</v>
      </c>
      <c r="N405">
        <f>YEAR(Table2[[#This Row],[Order Date]])</f>
        <v>2025</v>
      </c>
    </row>
    <row r="406" spans="1:14" x14ac:dyDescent="0.3">
      <c r="A406" t="s">
        <v>746</v>
      </c>
      <c r="B406" t="s">
        <v>261</v>
      </c>
      <c r="C406" t="s">
        <v>42</v>
      </c>
      <c r="D406" t="s">
        <v>48</v>
      </c>
      <c r="E406" t="s">
        <v>107</v>
      </c>
      <c r="F406" t="s">
        <v>25</v>
      </c>
      <c r="G406" t="s">
        <v>32</v>
      </c>
      <c r="H406" t="s">
        <v>39</v>
      </c>
      <c r="I406">
        <v>10</v>
      </c>
      <c r="J406">
        <v>4982.8</v>
      </c>
      <c r="K406">
        <v>3122.3</v>
      </c>
      <c r="L406">
        <v>1860.5</v>
      </c>
      <c r="M406" s="5" t="str">
        <f>TEXT(Table2[[#This Row],[Order Date]],"mm")</f>
        <v>10</v>
      </c>
      <c r="N406">
        <f>YEAR(Table2[[#This Row],[Order Date]])</f>
        <v>2025</v>
      </c>
    </row>
    <row r="407" spans="1:14" x14ac:dyDescent="0.3">
      <c r="A407" t="s">
        <v>764</v>
      </c>
      <c r="B407" t="s">
        <v>261</v>
      </c>
      <c r="C407" t="s">
        <v>94</v>
      </c>
      <c r="D407" t="s">
        <v>54</v>
      </c>
      <c r="E407" t="s">
        <v>75</v>
      </c>
      <c r="F407" t="s">
        <v>50</v>
      </c>
      <c r="G407" t="s">
        <v>51</v>
      </c>
      <c r="H407" t="s">
        <v>60</v>
      </c>
      <c r="I407">
        <v>6</v>
      </c>
      <c r="J407">
        <v>4873.8</v>
      </c>
      <c r="K407">
        <v>3585.36</v>
      </c>
      <c r="L407">
        <v>1288.44</v>
      </c>
      <c r="M407" s="5" t="str">
        <f>TEXT(Table2[[#This Row],[Order Date]],"mm")</f>
        <v>10</v>
      </c>
      <c r="N407">
        <f>YEAR(Table2[[#This Row],[Order Date]])</f>
        <v>2025</v>
      </c>
    </row>
    <row r="408" spans="1:14" x14ac:dyDescent="0.3">
      <c r="A408" t="s">
        <v>775</v>
      </c>
      <c r="B408" t="s">
        <v>776</v>
      </c>
      <c r="C408" t="s">
        <v>94</v>
      </c>
      <c r="D408" t="s">
        <v>15</v>
      </c>
      <c r="E408" t="s">
        <v>183</v>
      </c>
      <c r="F408" t="s">
        <v>17</v>
      </c>
      <c r="G408" t="s">
        <v>38</v>
      </c>
      <c r="H408" t="s">
        <v>33</v>
      </c>
      <c r="I408">
        <v>7</v>
      </c>
      <c r="J408">
        <v>17717.98</v>
      </c>
      <c r="K408">
        <v>13584.62</v>
      </c>
      <c r="L408">
        <v>4133.3599999999997</v>
      </c>
      <c r="M408" s="5" t="str">
        <f>TEXT(Table2[[#This Row],[Order Date]],"mm")</f>
        <v>10</v>
      </c>
      <c r="N408">
        <f>YEAR(Table2[[#This Row],[Order Date]])</f>
        <v>2025</v>
      </c>
    </row>
    <row r="409" spans="1:14" x14ac:dyDescent="0.3">
      <c r="A409" t="s">
        <v>783</v>
      </c>
      <c r="B409" t="s">
        <v>523</v>
      </c>
      <c r="C409" t="s">
        <v>83</v>
      </c>
      <c r="D409" t="s">
        <v>23</v>
      </c>
      <c r="E409" t="s">
        <v>59</v>
      </c>
      <c r="F409" t="s">
        <v>17</v>
      </c>
      <c r="G409" t="s">
        <v>116</v>
      </c>
      <c r="H409" t="s">
        <v>19</v>
      </c>
      <c r="I409">
        <v>4</v>
      </c>
      <c r="J409">
        <v>10652.48</v>
      </c>
      <c r="K409">
        <v>7471.8</v>
      </c>
      <c r="L409">
        <v>3180.68</v>
      </c>
      <c r="M409" s="5" t="str">
        <f>TEXT(Table2[[#This Row],[Order Date]],"mm")</f>
        <v>10</v>
      </c>
      <c r="N409">
        <f>YEAR(Table2[[#This Row],[Order Date]])</f>
        <v>2025</v>
      </c>
    </row>
    <row r="410" spans="1:14" x14ac:dyDescent="0.3">
      <c r="A410" t="s">
        <v>815</v>
      </c>
      <c r="B410" t="s">
        <v>429</v>
      </c>
      <c r="C410" t="s">
        <v>206</v>
      </c>
      <c r="D410" t="s">
        <v>54</v>
      </c>
      <c r="E410" t="s">
        <v>98</v>
      </c>
      <c r="F410" t="s">
        <v>17</v>
      </c>
      <c r="G410" t="s">
        <v>38</v>
      </c>
      <c r="H410" t="s">
        <v>27</v>
      </c>
      <c r="I410">
        <v>2</v>
      </c>
      <c r="J410">
        <v>885.36</v>
      </c>
      <c r="K410">
        <v>667.54</v>
      </c>
      <c r="L410">
        <v>217.82</v>
      </c>
      <c r="M410" s="5" t="str">
        <f>TEXT(Table2[[#This Row],[Order Date]],"mm")</f>
        <v>10</v>
      </c>
      <c r="N410">
        <f>YEAR(Table2[[#This Row],[Order Date]])</f>
        <v>2025</v>
      </c>
    </row>
    <row r="411" spans="1:14" x14ac:dyDescent="0.3">
      <c r="A411" t="s">
        <v>819</v>
      </c>
      <c r="B411" t="s">
        <v>564</v>
      </c>
      <c r="C411" t="s">
        <v>132</v>
      </c>
      <c r="D411" t="s">
        <v>54</v>
      </c>
      <c r="E411" t="s">
        <v>98</v>
      </c>
      <c r="F411" t="s">
        <v>17</v>
      </c>
      <c r="G411" t="s">
        <v>63</v>
      </c>
      <c r="H411" t="s">
        <v>60</v>
      </c>
      <c r="I411">
        <v>7</v>
      </c>
      <c r="J411">
        <v>18958.099999999999</v>
      </c>
      <c r="K411">
        <v>11969.37</v>
      </c>
      <c r="L411">
        <v>6988.73</v>
      </c>
      <c r="M411" s="5" t="str">
        <f>TEXT(Table2[[#This Row],[Order Date]],"mm")</f>
        <v>10</v>
      </c>
      <c r="N411">
        <f>YEAR(Table2[[#This Row],[Order Date]])</f>
        <v>2025</v>
      </c>
    </row>
    <row r="412" spans="1:14" x14ac:dyDescent="0.3">
      <c r="A412" t="s">
        <v>831</v>
      </c>
      <c r="B412" t="s">
        <v>832</v>
      </c>
      <c r="C412" t="s">
        <v>36</v>
      </c>
      <c r="D412" t="s">
        <v>54</v>
      </c>
      <c r="E412" t="s">
        <v>98</v>
      </c>
      <c r="F412" t="s">
        <v>17</v>
      </c>
      <c r="G412" t="s">
        <v>38</v>
      </c>
      <c r="H412" t="s">
        <v>44</v>
      </c>
      <c r="I412">
        <v>5</v>
      </c>
      <c r="J412">
        <v>6869.75</v>
      </c>
      <c r="K412">
        <v>5574.55</v>
      </c>
      <c r="L412">
        <v>1295.2</v>
      </c>
      <c r="M412" s="5" t="str">
        <f>TEXT(Table2[[#This Row],[Order Date]],"mm")</f>
        <v>10</v>
      </c>
      <c r="N412">
        <f>YEAR(Table2[[#This Row],[Order Date]])</f>
        <v>2025</v>
      </c>
    </row>
    <row r="413" spans="1:14" x14ac:dyDescent="0.3">
      <c r="A413" t="s">
        <v>834</v>
      </c>
      <c r="B413" t="s">
        <v>776</v>
      </c>
      <c r="C413" t="s">
        <v>94</v>
      </c>
      <c r="D413" t="s">
        <v>54</v>
      </c>
      <c r="E413" t="s">
        <v>98</v>
      </c>
      <c r="F413" t="s">
        <v>17</v>
      </c>
      <c r="G413" t="s">
        <v>63</v>
      </c>
      <c r="H413" t="s">
        <v>44</v>
      </c>
      <c r="I413">
        <v>9</v>
      </c>
      <c r="J413">
        <v>13701.87</v>
      </c>
      <c r="K413">
        <v>11211.75</v>
      </c>
      <c r="L413">
        <v>2490.12</v>
      </c>
      <c r="M413" s="5" t="str">
        <f>TEXT(Table2[[#This Row],[Order Date]],"mm")</f>
        <v>10</v>
      </c>
      <c r="N413">
        <f>YEAR(Table2[[#This Row],[Order Date]])</f>
        <v>2025</v>
      </c>
    </row>
    <row r="414" spans="1:14" x14ac:dyDescent="0.3">
      <c r="A414" t="s">
        <v>851</v>
      </c>
      <c r="B414" t="s">
        <v>852</v>
      </c>
      <c r="C414" t="s">
        <v>143</v>
      </c>
      <c r="D414" t="s">
        <v>15</v>
      </c>
      <c r="E414" t="s">
        <v>183</v>
      </c>
      <c r="F414" t="s">
        <v>50</v>
      </c>
      <c r="G414" t="s">
        <v>134</v>
      </c>
      <c r="H414" t="s">
        <v>19</v>
      </c>
      <c r="I414">
        <v>3</v>
      </c>
      <c r="J414">
        <v>2597.8200000000002</v>
      </c>
      <c r="K414">
        <v>1832.52</v>
      </c>
      <c r="L414">
        <v>765.3</v>
      </c>
      <c r="M414" s="5" t="str">
        <f>TEXT(Table2[[#This Row],[Order Date]],"mm")</f>
        <v>10</v>
      </c>
      <c r="N414">
        <f>YEAR(Table2[[#This Row],[Order Date]])</f>
        <v>2025</v>
      </c>
    </row>
    <row r="415" spans="1:14" x14ac:dyDescent="0.3">
      <c r="A415" t="s">
        <v>92</v>
      </c>
      <c r="B415" t="s">
        <v>93</v>
      </c>
      <c r="C415" t="s">
        <v>94</v>
      </c>
      <c r="D415" t="s">
        <v>15</v>
      </c>
      <c r="E415" t="s">
        <v>31</v>
      </c>
      <c r="F415" t="s">
        <v>50</v>
      </c>
      <c r="G415" t="s">
        <v>95</v>
      </c>
      <c r="H415" t="s">
        <v>39</v>
      </c>
      <c r="I415">
        <v>4</v>
      </c>
      <c r="J415">
        <v>5280</v>
      </c>
      <c r="K415">
        <v>3627.4</v>
      </c>
      <c r="L415">
        <v>1652.6</v>
      </c>
      <c r="M415" s="5" t="str">
        <f>TEXT(Table2[[#This Row],[Order Date]],"mm")</f>
        <v>11</v>
      </c>
      <c r="N415">
        <f>YEAR(Table2[[#This Row],[Order Date]])</f>
        <v>2025</v>
      </c>
    </row>
    <row r="416" spans="1:14" x14ac:dyDescent="0.3">
      <c r="A416" t="s">
        <v>108</v>
      </c>
      <c r="B416" t="s">
        <v>109</v>
      </c>
      <c r="C416" t="s">
        <v>94</v>
      </c>
      <c r="D416" t="s">
        <v>23</v>
      </c>
      <c r="E416" t="s">
        <v>37</v>
      </c>
      <c r="F416" t="s">
        <v>50</v>
      </c>
      <c r="G416" t="s">
        <v>110</v>
      </c>
      <c r="H416" t="s">
        <v>60</v>
      </c>
      <c r="I416">
        <v>8</v>
      </c>
      <c r="J416">
        <v>9576.8799999999992</v>
      </c>
      <c r="K416">
        <v>8287.44</v>
      </c>
      <c r="L416">
        <v>1289.44</v>
      </c>
      <c r="M416" s="5" t="str">
        <f>TEXT(Table2[[#This Row],[Order Date]],"mm")</f>
        <v>11</v>
      </c>
      <c r="N416">
        <f>YEAR(Table2[[#This Row],[Order Date]])</f>
        <v>2025</v>
      </c>
    </row>
    <row r="417" spans="1:14" x14ac:dyDescent="0.3">
      <c r="A417" t="s">
        <v>111</v>
      </c>
      <c r="B417" t="s">
        <v>112</v>
      </c>
      <c r="C417" t="s">
        <v>113</v>
      </c>
      <c r="D417" t="s">
        <v>48</v>
      </c>
      <c r="E417" t="s">
        <v>84</v>
      </c>
      <c r="F417" t="s">
        <v>50</v>
      </c>
      <c r="G417" t="s">
        <v>51</v>
      </c>
      <c r="H417" t="s">
        <v>39</v>
      </c>
      <c r="I417">
        <v>10</v>
      </c>
      <c r="J417">
        <v>23596.5</v>
      </c>
      <c r="K417">
        <v>19666.3</v>
      </c>
      <c r="L417">
        <v>3930.2</v>
      </c>
      <c r="M417" s="5" t="str">
        <f>TEXT(Table2[[#This Row],[Order Date]],"mm")</f>
        <v>11</v>
      </c>
      <c r="N417">
        <f>YEAR(Table2[[#This Row],[Order Date]])</f>
        <v>2025</v>
      </c>
    </row>
    <row r="418" spans="1:14" x14ac:dyDescent="0.3">
      <c r="A418" t="s">
        <v>119</v>
      </c>
      <c r="B418" t="s">
        <v>120</v>
      </c>
      <c r="C418" t="s">
        <v>94</v>
      </c>
      <c r="D418" t="s">
        <v>48</v>
      </c>
      <c r="E418" t="s">
        <v>49</v>
      </c>
      <c r="F418" t="s">
        <v>17</v>
      </c>
      <c r="G418" t="s">
        <v>18</v>
      </c>
      <c r="H418" t="s">
        <v>39</v>
      </c>
      <c r="I418">
        <v>2</v>
      </c>
      <c r="J418">
        <v>5027.5200000000004</v>
      </c>
      <c r="K418">
        <v>3221.52</v>
      </c>
      <c r="L418">
        <v>1806</v>
      </c>
      <c r="M418" s="5" t="str">
        <f>TEXT(Table2[[#This Row],[Order Date]],"mm")</f>
        <v>11</v>
      </c>
      <c r="N418">
        <f>YEAR(Table2[[#This Row],[Order Date]])</f>
        <v>2025</v>
      </c>
    </row>
    <row r="419" spans="1:14" x14ac:dyDescent="0.3">
      <c r="A419" t="s">
        <v>130</v>
      </c>
      <c r="B419" t="s">
        <v>131</v>
      </c>
      <c r="C419" t="s">
        <v>132</v>
      </c>
      <c r="D419" t="s">
        <v>54</v>
      </c>
      <c r="E419" t="s">
        <v>133</v>
      </c>
      <c r="F419" t="s">
        <v>50</v>
      </c>
      <c r="G419" t="s">
        <v>134</v>
      </c>
      <c r="H419" t="s">
        <v>44</v>
      </c>
      <c r="I419">
        <v>8</v>
      </c>
      <c r="J419">
        <v>15083.76</v>
      </c>
      <c r="K419">
        <v>10422.959999999999</v>
      </c>
      <c r="L419">
        <v>4660.8</v>
      </c>
      <c r="M419" s="5" t="str">
        <f>TEXT(Table2[[#This Row],[Order Date]],"mm")</f>
        <v>11</v>
      </c>
      <c r="N419">
        <f>YEAR(Table2[[#This Row],[Order Date]])</f>
        <v>2025</v>
      </c>
    </row>
    <row r="420" spans="1:14" x14ac:dyDescent="0.3">
      <c r="A420" t="s">
        <v>148</v>
      </c>
      <c r="B420" t="s">
        <v>149</v>
      </c>
      <c r="C420" t="s">
        <v>42</v>
      </c>
      <c r="D420" t="s">
        <v>54</v>
      </c>
      <c r="E420" t="s">
        <v>98</v>
      </c>
      <c r="F420" t="s">
        <v>25</v>
      </c>
      <c r="G420" t="s">
        <v>71</v>
      </c>
      <c r="H420" t="s">
        <v>60</v>
      </c>
      <c r="I420">
        <v>8</v>
      </c>
      <c r="J420">
        <v>17410.32</v>
      </c>
      <c r="K420">
        <v>15054.8</v>
      </c>
      <c r="L420">
        <v>2355.52</v>
      </c>
      <c r="M420" s="5" t="str">
        <f>TEXT(Table2[[#This Row],[Order Date]],"mm")</f>
        <v>11</v>
      </c>
      <c r="N420">
        <f>YEAR(Table2[[#This Row],[Order Date]])</f>
        <v>2025</v>
      </c>
    </row>
    <row r="421" spans="1:14" x14ac:dyDescent="0.3">
      <c r="A421" t="s">
        <v>157</v>
      </c>
      <c r="B421" t="s">
        <v>149</v>
      </c>
      <c r="C421" t="s">
        <v>70</v>
      </c>
      <c r="D421" t="s">
        <v>54</v>
      </c>
      <c r="E421" t="s">
        <v>133</v>
      </c>
      <c r="F421" t="s">
        <v>25</v>
      </c>
      <c r="G421" t="s">
        <v>158</v>
      </c>
      <c r="H421" t="s">
        <v>60</v>
      </c>
      <c r="I421">
        <v>6</v>
      </c>
      <c r="J421">
        <v>14428.38</v>
      </c>
      <c r="K421">
        <v>10605.36</v>
      </c>
      <c r="L421">
        <v>3823.02</v>
      </c>
      <c r="M421" s="5" t="str">
        <f>TEXT(Table2[[#This Row],[Order Date]],"mm")</f>
        <v>11</v>
      </c>
      <c r="N421">
        <f>YEAR(Table2[[#This Row],[Order Date]])</f>
        <v>2025</v>
      </c>
    </row>
    <row r="422" spans="1:14" x14ac:dyDescent="0.3">
      <c r="A422" t="s">
        <v>169</v>
      </c>
      <c r="B422" t="s">
        <v>149</v>
      </c>
      <c r="C422" t="s">
        <v>42</v>
      </c>
      <c r="D422" t="s">
        <v>54</v>
      </c>
      <c r="E422" t="s">
        <v>133</v>
      </c>
      <c r="F422" t="s">
        <v>50</v>
      </c>
      <c r="G422" t="s">
        <v>51</v>
      </c>
      <c r="H422" t="s">
        <v>39</v>
      </c>
      <c r="I422">
        <v>7</v>
      </c>
      <c r="J422">
        <v>2319.2399999999998</v>
      </c>
      <c r="K422">
        <v>1691.62</v>
      </c>
      <c r="L422">
        <v>627.62</v>
      </c>
      <c r="M422" s="5" t="str">
        <f>TEXT(Table2[[#This Row],[Order Date]],"mm")</f>
        <v>11</v>
      </c>
      <c r="N422">
        <f>YEAR(Table2[[#This Row],[Order Date]])</f>
        <v>2025</v>
      </c>
    </row>
    <row r="423" spans="1:14" x14ac:dyDescent="0.3">
      <c r="A423" t="s">
        <v>179</v>
      </c>
      <c r="B423" t="s">
        <v>180</v>
      </c>
      <c r="C423" t="s">
        <v>161</v>
      </c>
      <c r="D423" t="s">
        <v>54</v>
      </c>
      <c r="E423" t="s">
        <v>98</v>
      </c>
      <c r="F423" t="s">
        <v>25</v>
      </c>
      <c r="G423" t="s">
        <v>158</v>
      </c>
      <c r="H423" t="s">
        <v>33</v>
      </c>
      <c r="I423">
        <v>5</v>
      </c>
      <c r="J423">
        <v>8642.5499999999993</v>
      </c>
      <c r="K423">
        <v>5650.55</v>
      </c>
      <c r="L423">
        <v>2992</v>
      </c>
      <c r="M423" s="5" t="str">
        <f>TEXT(Table2[[#This Row],[Order Date]],"mm")</f>
        <v>11</v>
      </c>
      <c r="N423">
        <f>YEAR(Table2[[#This Row],[Order Date]])</f>
        <v>2025</v>
      </c>
    </row>
    <row r="424" spans="1:14" x14ac:dyDescent="0.3">
      <c r="A424" t="s">
        <v>202</v>
      </c>
      <c r="B424" t="s">
        <v>203</v>
      </c>
      <c r="C424" t="s">
        <v>106</v>
      </c>
      <c r="D424" t="s">
        <v>23</v>
      </c>
      <c r="E424" t="s">
        <v>37</v>
      </c>
      <c r="F424" t="s">
        <v>25</v>
      </c>
      <c r="G424" t="s">
        <v>26</v>
      </c>
      <c r="H424" t="s">
        <v>33</v>
      </c>
      <c r="I424">
        <v>1</v>
      </c>
      <c r="J424">
        <v>1439.5</v>
      </c>
      <c r="K424">
        <v>1166.3599999999999</v>
      </c>
      <c r="L424">
        <v>273.14</v>
      </c>
      <c r="M424" s="5" t="str">
        <f>TEXT(Table2[[#This Row],[Order Date]],"mm")</f>
        <v>11</v>
      </c>
      <c r="N424">
        <f>YEAR(Table2[[#This Row],[Order Date]])</f>
        <v>2025</v>
      </c>
    </row>
    <row r="425" spans="1:14" x14ac:dyDescent="0.3">
      <c r="A425" t="s">
        <v>213</v>
      </c>
      <c r="B425" t="s">
        <v>180</v>
      </c>
      <c r="C425" t="s">
        <v>103</v>
      </c>
      <c r="D425" t="s">
        <v>54</v>
      </c>
      <c r="E425" t="s">
        <v>75</v>
      </c>
      <c r="F425" t="s">
        <v>50</v>
      </c>
      <c r="G425" t="s">
        <v>95</v>
      </c>
      <c r="H425" t="s">
        <v>85</v>
      </c>
      <c r="I425">
        <v>5</v>
      </c>
      <c r="J425">
        <v>5350.75</v>
      </c>
      <c r="K425">
        <v>3622.75</v>
      </c>
      <c r="L425">
        <v>1728</v>
      </c>
      <c r="M425" s="5" t="str">
        <f>TEXT(Table2[[#This Row],[Order Date]],"mm")</f>
        <v>11</v>
      </c>
      <c r="N425">
        <f>YEAR(Table2[[#This Row],[Order Date]])</f>
        <v>2025</v>
      </c>
    </row>
    <row r="426" spans="1:14" x14ac:dyDescent="0.3">
      <c r="A426" t="s">
        <v>220</v>
      </c>
      <c r="B426" t="s">
        <v>221</v>
      </c>
      <c r="C426" t="s">
        <v>103</v>
      </c>
      <c r="D426" t="s">
        <v>23</v>
      </c>
      <c r="E426" t="s">
        <v>43</v>
      </c>
      <c r="F426" t="s">
        <v>17</v>
      </c>
      <c r="G426" t="s">
        <v>116</v>
      </c>
      <c r="H426" t="s">
        <v>39</v>
      </c>
      <c r="I426">
        <v>2</v>
      </c>
      <c r="J426">
        <v>3761.68</v>
      </c>
      <c r="K426">
        <v>2594.1999999999998</v>
      </c>
      <c r="L426">
        <v>1167.48</v>
      </c>
      <c r="M426" s="5" t="str">
        <f>TEXT(Table2[[#This Row],[Order Date]],"mm")</f>
        <v>11</v>
      </c>
      <c r="N426">
        <f>YEAR(Table2[[#This Row],[Order Date]])</f>
        <v>2025</v>
      </c>
    </row>
    <row r="427" spans="1:14" x14ac:dyDescent="0.3">
      <c r="A427" t="s">
        <v>253</v>
      </c>
      <c r="B427" t="s">
        <v>254</v>
      </c>
      <c r="C427" t="s">
        <v>74</v>
      </c>
      <c r="D427" t="s">
        <v>48</v>
      </c>
      <c r="E427" t="s">
        <v>67</v>
      </c>
      <c r="F427" t="s">
        <v>25</v>
      </c>
      <c r="G427" t="s">
        <v>71</v>
      </c>
      <c r="H427" t="s">
        <v>60</v>
      </c>
      <c r="I427">
        <v>4</v>
      </c>
      <c r="J427">
        <v>815.32</v>
      </c>
      <c r="K427">
        <v>653.12</v>
      </c>
      <c r="L427">
        <v>162.19999999999999</v>
      </c>
      <c r="M427" s="5" t="str">
        <f>TEXT(Table2[[#This Row],[Order Date]],"mm")</f>
        <v>11</v>
      </c>
      <c r="N427">
        <f>YEAR(Table2[[#This Row],[Order Date]])</f>
        <v>2025</v>
      </c>
    </row>
    <row r="428" spans="1:14" x14ac:dyDescent="0.3">
      <c r="A428" t="s">
        <v>258</v>
      </c>
      <c r="B428" t="s">
        <v>259</v>
      </c>
      <c r="C428" t="s">
        <v>206</v>
      </c>
      <c r="D428" t="s">
        <v>23</v>
      </c>
      <c r="E428" t="s">
        <v>24</v>
      </c>
      <c r="F428" t="s">
        <v>17</v>
      </c>
      <c r="G428" t="s">
        <v>38</v>
      </c>
      <c r="H428" t="s">
        <v>85</v>
      </c>
      <c r="I428">
        <v>5</v>
      </c>
      <c r="J428">
        <v>5480.15</v>
      </c>
      <c r="K428">
        <v>4011.55</v>
      </c>
      <c r="L428">
        <v>1468.6</v>
      </c>
      <c r="M428" s="5" t="str">
        <f>TEXT(Table2[[#This Row],[Order Date]],"mm")</f>
        <v>11</v>
      </c>
      <c r="N428">
        <f>YEAR(Table2[[#This Row],[Order Date]])</f>
        <v>2025</v>
      </c>
    </row>
    <row r="429" spans="1:14" x14ac:dyDescent="0.3">
      <c r="A429" t="s">
        <v>273</v>
      </c>
      <c r="B429" t="s">
        <v>274</v>
      </c>
      <c r="C429" t="s">
        <v>47</v>
      </c>
      <c r="D429" t="s">
        <v>23</v>
      </c>
      <c r="E429" t="s">
        <v>43</v>
      </c>
      <c r="F429" t="s">
        <v>25</v>
      </c>
      <c r="G429" t="s">
        <v>158</v>
      </c>
      <c r="H429" t="s">
        <v>64</v>
      </c>
      <c r="I429">
        <v>3</v>
      </c>
      <c r="J429">
        <v>1973.58</v>
      </c>
      <c r="K429">
        <v>1390.17</v>
      </c>
      <c r="L429">
        <v>583.41</v>
      </c>
      <c r="M429" s="5" t="str">
        <f>TEXT(Table2[[#This Row],[Order Date]],"mm")</f>
        <v>11</v>
      </c>
      <c r="N429">
        <f>YEAR(Table2[[#This Row],[Order Date]])</f>
        <v>2025</v>
      </c>
    </row>
    <row r="430" spans="1:14" x14ac:dyDescent="0.3">
      <c r="A430" t="s">
        <v>311</v>
      </c>
      <c r="B430" t="s">
        <v>312</v>
      </c>
      <c r="C430" t="s">
        <v>74</v>
      </c>
      <c r="D430" t="s">
        <v>48</v>
      </c>
      <c r="E430" t="s">
        <v>49</v>
      </c>
      <c r="F430" t="s">
        <v>50</v>
      </c>
      <c r="G430" t="s">
        <v>95</v>
      </c>
      <c r="H430" t="s">
        <v>44</v>
      </c>
      <c r="I430">
        <v>9</v>
      </c>
      <c r="J430">
        <v>8213.76</v>
      </c>
      <c r="K430">
        <v>6342.57</v>
      </c>
      <c r="L430">
        <v>1871.19</v>
      </c>
      <c r="M430" s="5" t="str">
        <f>TEXT(Table2[[#This Row],[Order Date]],"mm")</f>
        <v>11</v>
      </c>
      <c r="N430">
        <f>YEAR(Table2[[#This Row],[Order Date]])</f>
        <v>2025</v>
      </c>
    </row>
    <row r="431" spans="1:14" x14ac:dyDescent="0.3">
      <c r="A431" t="s">
        <v>336</v>
      </c>
      <c r="B431" t="s">
        <v>337</v>
      </c>
      <c r="C431" t="s">
        <v>74</v>
      </c>
      <c r="D431" t="s">
        <v>48</v>
      </c>
      <c r="E431" t="s">
        <v>84</v>
      </c>
      <c r="F431" t="s">
        <v>25</v>
      </c>
      <c r="G431" t="s">
        <v>26</v>
      </c>
      <c r="H431" t="s">
        <v>27</v>
      </c>
      <c r="I431">
        <v>4</v>
      </c>
      <c r="J431">
        <v>728.04</v>
      </c>
      <c r="K431">
        <v>602.88</v>
      </c>
      <c r="L431">
        <v>125.16</v>
      </c>
      <c r="M431" s="5" t="str">
        <f>TEXT(Table2[[#This Row],[Order Date]],"mm")</f>
        <v>11</v>
      </c>
      <c r="N431">
        <f>YEAR(Table2[[#This Row],[Order Date]])</f>
        <v>2025</v>
      </c>
    </row>
    <row r="432" spans="1:14" x14ac:dyDescent="0.3">
      <c r="A432" t="s">
        <v>361</v>
      </c>
      <c r="B432" t="s">
        <v>362</v>
      </c>
      <c r="C432" t="s">
        <v>74</v>
      </c>
      <c r="D432" t="s">
        <v>15</v>
      </c>
      <c r="E432" t="s">
        <v>183</v>
      </c>
      <c r="F432" t="s">
        <v>25</v>
      </c>
      <c r="G432" t="s">
        <v>158</v>
      </c>
      <c r="H432" t="s">
        <v>19</v>
      </c>
      <c r="I432">
        <v>7</v>
      </c>
      <c r="J432">
        <v>12784.73</v>
      </c>
      <c r="K432">
        <v>10236.1</v>
      </c>
      <c r="L432">
        <v>2548.63</v>
      </c>
      <c r="M432" s="5" t="str">
        <f>TEXT(Table2[[#This Row],[Order Date]],"mm")</f>
        <v>11</v>
      </c>
      <c r="N432">
        <f>YEAR(Table2[[#This Row],[Order Date]])</f>
        <v>2025</v>
      </c>
    </row>
    <row r="433" spans="1:14" x14ac:dyDescent="0.3">
      <c r="A433" t="s">
        <v>363</v>
      </c>
      <c r="B433" t="s">
        <v>221</v>
      </c>
      <c r="C433" t="s">
        <v>47</v>
      </c>
      <c r="D433" t="s">
        <v>54</v>
      </c>
      <c r="E433" t="s">
        <v>133</v>
      </c>
      <c r="F433" t="s">
        <v>17</v>
      </c>
      <c r="G433" t="s">
        <v>76</v>
      </c>
      <c r="H433" t="s">
        <v>85</v>
      </c>
      <c r="I433">
        <v>1</v>
      </c>
      <c r="J433">
        <v>2381.9</v>
      </c>
      <c r="K433">
        <v>1597.93</v>
      </c>
      <c r="L433">
        <v>783.97</v>
      </c>
      <c r="M433" s="5" t="str">
        <f>TEXT(Table2[[#This Row],[Order Date]],"mm")</f>
        <v>11</v>
      </c>
      <c r="N433">
        <f>YEAR(Table2[[#This Row],[Order Date]])</f>
        <v>2025</v>
      </c>
    </row>
    <row r="434" spans="1:14" x14ac:dyDescent="0.3">
      <c r="A434" t="s">
        <v>364</v>
      </c>
      <c r="B434" t="s">
        <v>254</v>
      </c>
      <c r="C434" t="s">
        <v>335</v>
      </c>
      <c r="D434" t="s">
        <v>15</v>
      </c>
      <c r="E434" t="s">
        <v>89</v>
      </c>
      <c r="F434" t="s">
        <v>50</v>
      </c>
      <c r="G434" t="s">
        <v>95</v>
      </c>
      <c r="H434" t="s">
        <v>19</v>
      </c>
      <c r="I434">
        <v>9</v>
      </c>
      <c r="J434">
        <v>25241.13</v>
      </c>
      <c r="K434">
        <v>17689.77</v>
      </c>
      <c r="L434">
        <v>7551.36</v>
      </c>
      <c r="M434" s="5" t="str">
        <f>TEXT(Table2[[#This Row],[Order Date]],"mm")</f>
        <v>11</v>
      </c>
      <c r="N434">
        <f>YEAR(Table2[[#This Row],[Order Date]])</f>
        <v>2025</v>
      </c>
    </row>
    <row r="435" spans="1:14" x14ac:dyDescent="0.3">
      <c r="A435" t="s">
        <v>373</v>
      </c>
      <c r="B435" t="s">
        <v>259</v>
      </c>
      <c r="C435" t="s">
        <v>42</v>
      </c>
      <c r="D435" t="s">
        <v>15</v>
      </c>
      <c r="E435" t="s">
        <v>183</v>
      </c>
      <c r="F435" t="s">
        <v>25</v>
      </c>
      <c r="G435" t="s">
        <v>158</v>
      </c>
      <c r="H435" t="s">
        <v>39</v>
      </c>
      <c r="I435">
        <v>7</v>
      </c>
      <c r="J435">
        <v>11385.01</v>
      </c>
      <c r="K435">
        <v>8524.39</v>
      </c>
      <c r="L435">
        <v>2860.62</v>
      </c>
      <c r="M435" s="5" t="str">
        <f>TEXT(Table2[[#This Row],[Order Date]],"mm")</f>
        <v>11</v>
      </c>
      <c r="N435">
        <f>YEAR(Table2[[#This Row],[Order Date]])</f>
        <v>2025</v>
      </c>
    </row>
    <row r="436" spans="1:14" x14ac:dyDescent="0.3">
      <c r="A436" t="s">
        <v>381</v>
      </c>
      <c r="B436" t="s">
        <v>382</v>
      </c>
      <c r="C436" t="s">
        <v>263</v>
      </c>
      <c r="D436" t="s">
        <v>15</v>
      </c>
      <c r="E436" t="s">
        <v>89</v>
      </c>
      <c r="F436" t="s">
        <v>25</v>
      </c>
      <c r="G436" t="s">
        <v>71</v>
      </c>
      <c r="H436" t="s">
        <v>60</v>
      </c>
      <c r="I436">
        <v>8</v>
      </c>
      <c r="J436">
        <v>15756.4</v>
      </c>
      <c r="K436">
        <v>12803.84</v>
      </c>
      <c r="L436">
        <v>2952.56</v>
      </c>
      <c r="M436" s="5" t="str">
        <f>TEXT(Table2[[#This Row],[Order Date]],"mm")</f>
        <v>11</v>
      </c>
      <c r="N436">
        <f>YEAR(Table2[[#This Row],[Order Date]])</f>
        <v>2025</v>
      </c>
    </row>
    <row r="437" spans="1:14" x14ac:dyDescent="0.3">
      <c r="A437" t="s">
        <v>396</v>
      </c>
      <c r="B437" t="s">
        <v>337</v>
      </c>
      <c r="C437" t="s">
        <v>22</v>
      </c>
      <c r="D437" t="s">
        <v>48</v>
      </c>
      <c r="E437" t="s">
        <v>107</v>
      </c>
      <c r="F437" t="s">
        <v>25</v>
      </c>
      <c r="G437" t="s">
        <v>71</v>
      </c>
      <c r="H437" t="s">
        <v>27</v>
      </c>
      <c r="I437">
        <v>5</v>
      </c>
      <c r="J437">
        <v>8024</v>
      </c>
      <c r="K437">
        <v>5321.65</v>
      </c>
      <c r="L437">
        <v>2702.35</v>
      </c>
      <c r="M437" s="5" t="str">
        <f>TEXT(Table2[[#This Row],[Order Date]],"mm")</f>
        <v>11</v>
      </c>
      <c r="N437">
        <f>YEAR(Table2[[#This Row],[Order Date]])</f>
        <v>2025</v>
      </c>
    </row>
    <row r="438" spans="1:14" x14ac:dyDescent="0.3">
      <c r="A438" t="s">
        <v>421</v>
      </c>
      <c r="B438" t="s">
        <v>254</v>
      </c>
      <c r="C438" t="s">
        <v>335</v>
      </c>
      <c r="D438" t="s">
        <v>15</v>
      </c>
      <c r="E438" t="s">
        <v>31</v>
      </c>
      <c r="F438" t="s">
        <v>25</v>
      </c>
      <c r="G438" t="s">
        <v>158</v>
      </c>
      <c r="H438" t="s">
        <v>44</v>
      </c>
      <c r="I438">
        <v>1</v>
      </c>
      <c r="J438">
        <v>2706.24</v>
      </c>
      <c r="K438">
        <v>1879.71</v>
      </c>
      <c r="L438">
        <v>826.53</v>
      </c>
      <c r="M438" s="5" t="str">
        <f>TEXT(Table2[[#This Row],[Order Date]],"mm")</f>
        <v>11</v>
      </c>
      <c r="N438">
        <f>YEAR(Table2[[#This Row],[Order Date]])</f>
        <v>2025</v>
      </c>
    </row>
    <row r="439" spans="1:14" x14ac:dyDescent="0.3">
      <c r="A439" t="s">
        <v>437</v>
      </c>
      <c r="B439" t="s">
        <v>438</v>
      </c>
      <c r="C439" t="s">
        <v>263</v>
      </c>
      <c r="D439" t="s">
        <v>15</v>
      </c>
      <c r="E439" t="s">
        <v>16</v>
      </c>
      <c r="F439" t="s">
        <v>17</v>
      </c>
      <c r="G439" t="s">
        <v>38</v>
      </c>
      <c r="H439" t="s">
        <v>85</v>
      </c>
      <c r="I439">
        <v>10</v>
      </c>
      <c r="J439">
        <v>2798.3</v>
      </c>
      <c r="K439">
        <v>1982.3</v>
      </c>
      <c r="L439">
        <v>816</v>
      </c>
      <c r="M439" s="5" t="str">
        <f>TEXT(Table2[[#This Row],[Order Date]],"mm")</f>
        <v>11</v>
      </c>
      <c r="N439">
        <f>YEAR(Table2[[#This Row],[Order Date]])</f>
        <v>2025</v>
      </c>
    </row>
    <row r="440" spans="1:14" x14ac:dyDescent="0.3">
      <c r="A440" t="s">
        <v>467</v>
      </c>
      <c r="B440" t="s">
        <v>203</v>
      </c>
      <c r="C440" t="s">
        <v>42</v>
      </c>
      <c r="D440" t="s">
        <v>23</v>
      </c>
      <c r="E440" t="s">
        <v>59</v>
      </c>
      <c r="F440" t="s">
        <v>17</v>
      </c>
      <c r="G440" t="s">
        <v>76</v>
      </c>
      <c r="H440" t="s">
        <v>33</v>
      </c>
      <c r="I440">
        <v>8</v>
      </c>
      <c r="J440">
        <v>9391.1200000000008</v>
      </c>
      <c r="K440">
        <v>6574.24</v>
      </c>
      <c r="L440">
        <v>2816.88</v>
      </c>
      <c r="M440" s="5" t="str">
        <f>TEXT(Table2[[#This Row],[Order Date]],"mm")</f>
        <v>11</v>
      </c>
      <c r="N440">
        <f>YEAR(Table2[[#This Row],[Order Date]])</f>
        <v>2025</v>
      </c>
    </row>
    <row r="441" spans="1:14" x14ac:dyDescent="0.3">
      <c r="A441" t="s">
        <v>486</v>
      </c>
      <c r="B441" t="s">
        <v>487</v>
      </c>
      <c r="C441" t="s">
        <v>30</v>
      </c>
      <c r="D441" t="s">
        <v>54</v>
      </c>
      <c r="E441" t="s">
        <v>98</v>
      </c>
      <c r="F441" t="s">
        <v>50</v>
      </c>
      <c r="G441" t="s">
        <v>95</v>
      </c>
      <c r="H441" t="s">
        <v>33</v>
      </c>
      <c r="I441">
        <v>10</v>
      </c>
      <c r="J441">
        <v>6405.6</v>
      </c>
      <c r="K441">
        <v>4789.7</v>
      </c>
      <c r="L441">
        <v>1615.9</v>
      </c>
      <c r="M441" s="5" t="str">
        <f>TEXT(Table2[[#This Row],[Order Date]],"mm")</f>
        <v>11</v>
      </c>
      <c r="N441">
        <f>YEAR(Table2[[#This Row],[Order Date]])</f>
        <v>2025</v>
      </c>
    </row>
    <row r="442" spans="1:14" x14ac:dyDescent="0.3">
      <c r="A442" t="s">
        <v>490</v>
      </c>
      <c r="B442" t="s">
        <v>259</v>
      </c>
      <c r="C442" t="s">
        <v>36</v>
      </c>
      <c r="D442" t="s">
        <v>48</v>
      </c>
      <c r="E442" t="s">
        <v>107</v>
      </c>
      <c r="F442" t="s">
        <v>25</v>
      </c>
      <c r="G442" t="s">
        <v>26</v>
      </c>
      <c r="H442" t="s">
        <v>27</v>
      </c>
      <c r="I442">
        <v>7</v>
      </c>
      <c r="J442">
        <v>2444.54</v>
      </c>
      <c r="K442">
        <v>2106.65</v>
      </c>
      <c r="L442">
        <v>337.89</v>
      </c>
      <c r="M442" s="5" t="str">
        <f>TEXT(Table2[[#This Row],[Order Date]],"mm")</f>
        <v>11</v>
      </c>
      <c r="N442">
        <f>YEAR(Table2[[#This Row],[Order Date]])</f>
        <v>2025</v>
      </c>
    </row>
    <row r="443" spans="1:14" x14ac:dyDescent="0.3">
      <c r="A443" t="s">
        <v>498</v>
      </c>
      <c r="B443" t="s">
        <v>499</v>
      </c>
      <c r="C443" t="s">
        <v>42</v>
      </c>
      <c r="D443" t="s">
        <v>54</v>
      </c>
      <c r="E443" t="s">
        <v>98</v>
      </c>
      <c r="F443" t="s">
        <v>17</v>
      </c>
      <c r="G443" t="s">
        <v>38</v>
      </c>
      <c r="H443" t="s">
        <v>64</v>
      </c>
      <c r="I443">
        <v>10</v>
      </c>
      <c r="J443">
        <v>6123.3</v>
      </c>
      <c r="K443">
        <v>4997.5</v>
      </c>
      <c r="L443">
        <v>1125.8</v>
      </c>
      <c r="M443" s="5" t="str">
        <f>TEXT(Table2[[#This Row],[Order Date]],"mm")</f>
        <v>11</v>
      </c>
      <c r="N443">
        <f>YEAR(Table2[[#This Row],[Order Date]])</f>
        <v>2025</v>
      </c>
    </row>
    <row r="444" spans="1:14" x14ac:dyDescent="0.3">
      <c r="A444" t="s">
        <v>500</v>
      </c>
      <c r="B444" t="s">
        <v>221</v>
      </c>
      <c r="C444" t="s">
        <v>14</v>
      </c>
      <c r="D444" t="s">
        <v>23</v>
      </c>
      <c r="E444" t="s">
        <v>37</v>
      </c>
      <c r="F444" t="s">
        <v>17</v>
      </c>
      <c r="G444" t="s">
        <v>18</v>
      </c>
      <c r="H444" t="s">
        <v>39</v>
      </c>
      <c r="I444">
        <v>1</v>
      </c>
      <c r="J444">
        <v>1033.82</v>
      </c>
      <c r="K444">
        <v>856.34</v>
      </c>
      <c r="L444">
        <v>177.48</v>
      </c>
      <c r="M444" s="5" t="str">
        <f>TEXT(Table2[[#This Row],[Order Date]],"mm")</f>
        <v>11</v>
      </c>
      <c r="N444">
        <f>YEAR(Table2[[#This Row],[Order Date]])</f>
        <v>2025</v>
      </c>
    </row>
    <row r="445" spans="1:14" x14ac:dyDescent="0.3">
      <c r="A445" t="s">
        <v>502</v>
      </c>
      <c r="B445" t="s">
        <v>120</v>
      </c>
      <c r="C445" t="s">
        <v>22</v>
      </c>
      <c r="D445" t="s">
        <v>23</v>
      </c>
      <c r="E445" t="s">
        <v>59</v>
      </c>
      <c r="F445" t="s">
        <v>50</v>
      </c>
      <c r="G445" t="s">
        <v>80</v>
      </c>
      <c r="H445" t="s">
        <v>27</v>
      </c>
      <c r="I445">
        <v>4</v>
      </c>
      <c r="J445">
        <v>3953.6</v>
      </c>
      <c r="K445">
        <v>3242.16</v>
      </c>
      <c r="L445">
        <v>711.44</v>
      </c>
      <c r="M445" s="5" t="str">
        <f>TEXT(Table2[[#This Row],[Order Date]],"mm")</f>
        <v>11</v>
      </c>
      <c r="N445">
        <f>YEAR(Table2[[#This Row],[Order Date]])</f>
        <v>2025</v>
      </c>
    </row>
    <row r="446" spans="1:14" x14ac:dyDescent="0.3">
      <c r="A446" t="s">
        <v>547</v>
      </c>
      <c r="B446" t="s">
        <v>120</v>
      </c>
      <c r="C446" t="s">
        <v>94</v>
      </c>
      <c r="D446" t="s">
        <v>23</v>
      </c>
      <c r="E446" t="s">
        <v>43</v>
      </c>
      <c r="F446" t="s">
        <v>50</v>
      </c>
      <c r="G446" t="s">
        <v>80</v>
      </c>
      <c r="H446" t="s">
        <v>19</v>
      </c>
      <c r="I446">
        <v>8</v>
      </c>
      <c r="J446">
        <v>21531.119999999999</v>
      </c>
      <c r="K446">
        <v>13888.56</v>
      </c>
      <c r="L446">
        <v>7642.56</v>
      </c>
      <c r="M446" s="5" t="str">
        <f>TEXT(Table2[[#This Row],[Order Date]],"mm")</f>
        <v>11</v>
      </c>
      <c r="N446">
        <f>YEAR(Table2[[#This Row],[Order Date]])</f>
        <v>2025</v>
      </c>
    </row>
    <row r="447" spans="1:14" x14ac:dyDescent="0.3">
      <c r="A447" t="s">
        <v>552</v>
      </c>
      <c r="B447" t="s">
        <v>131</v>
      </c>
      <c r="C447" t="s">
        <v>30</v>
      </c>
      <c r="D447" t="s">
        <v>15</v>
      </c>
      <c r="E447" t="s">
        <v>89</v>
      </c>
      <c r="F447" t="s">
        <v>17</v>
      </c>
      <c r="G447" t="s">
        <v>38</v>
      </c>
      <c r="H447" t="s">
        <v>19</v>
      </c>
      <c r="I447">
        <v>10</v>
      </c>
      <c r="J447">
        <v>25166.9</v>
      </c>
      <c r="K447">
        <v>18255.7</v>
      </c>
      <c r="L447">
        <v>6911.2</v>
      </c>
      <c r="M447" s="5" t="str">
        <f>TEXT(Table2[[#This Row],[Order Date]],"mm")</f>
        <v>11</v>
      </c>
      <c r="N447">
        <f>YEAR(Table2[[#This Row],[Order Date]])</f>
        <v>2025</v>
      </c>
    </row>
    <row r="448" spans="1:14" x14ac:dyDescent="0.3">
      <c r="A448" t="s">
        <v>574</v>
      </c>
      <c r="B448" t="s">
        <v>575</v>
      </c>
      <c r="C448" t="s">
        <v>263</v>
      </c>
      <c r="D448" t="s">
        <v>48</v>
      </c>
      <c r="E448" t="s">
        <v>107</v>
      </c>
      <c r="F448" t="s">
        <v>17</v>
      </c>
      <c r="G448" t="s">
        <v>38</v>
      </c>
      <c r="H448" t="s">
        <v>44</v>
      </c>
      <c r="I448">
        <v>10</v>
      </c>
      <c r="J448">
        <v>11629.3</v>
      </c>
      <c r="K448">
        <v>8073.8</v>
      </c>
      <c r="L448">
        <v>3555.5</v>
      </c>
      <c r="M448" s="5" t="str">
        <f>TEXT(Table2[[#This Row],[Order Date]],"mm")</f>
        <v>11</v>
      </c>
      <c r="N448">
        <f>YEAR(Table2[[#This Row],[Order Date]])</f>
        <v>2025</v>
      </c>
    </row>
    <row r="449" spans="1:14" x14ac:dyDescent="0.3">
      <c r="A449" t="s">
        <v>576</v>
      </c>
      <c r="B449" t="s">
        <v>93</v>
      </c>
      <c r="C449" t="s">
        <v>161</v>
      </c>
      <c r="D449" t="s">
        <v>23</v>
      </c>
      <c r="E449" t="s">
        <v>37</v>
      </c>
      <c r="F449" t="s">
        <v>50</v>
      </c>
      <c r="G449" t="s">
        <v>110</v>
      </c>
      <c r="H449" t="s">
        <v>44</v>
      </c>
      <c r="I449">
        <v>7</v>
      </c>
      <c r="J449">
        <v>9488.64</v>
      </c>
      <c r="K449">
        <v>8071.49</v>
      </c>
      <c r="L449">
        <v>1417.15</v>
      </c>
      <c r="M449" s="5" t="str">
        <f>TEXT(Table2[[#This Row],[Order Date]],"mm")</f>
        <v>11</v>
      </c>
      <c r="N449">
        <f>YEAR(Table2[[#This Row],[Order Date]])</f>
        <v>2025</v>
      </c>
    </row>
    <row r="450" spans="1:14" x14ac:dyDescent="0.3">
      <c r="A450" t="s">
        <v>592</v>
      </c>
      <c r="B450" t="s">
        <v>180</v>
      </c>
      <c r="C450" t="s">
        <v>113</v>
      </c>
      <c r="D450" t="s">
        <v>15</v>
      </c>
      <c r="E450" t="s">
        <v>183</v>
      </c>
      <c r="F450" t="s">
        <v>17</v>
      </c>
      <c r="G450" t="s">
        <v>76</v>
      </c>
      <c r="H450" t="s">
        <v>60</v>
      </c>
      <c r="I450">
        <v>5</v>
      </c>
      <c r="J450">
        <v>7343</v>
      </c>
      <c r="K450">
        <v>6290.5</v>
      </c>
      <c r="L450">
        <v>1052.5</v>
      </c>
      <c r="M450" s="5" t="str">
        <f>TEXT(Table2[[#This Row],[Order Date]],"mm")</f>
        <v>11</v>
      </c>
      <c r="N450">
        <f>YEAR(Table2[[#This Row],[Order Date]])</f>
        <v>2025</v>
      </c>
    </row>
    <row r="451" spans="1:14" x14ac:dyDescent="0.3">
      <c r="A451" t="s">
        <v>615</v>
      </c>
      <c r="B451" t="s">
        <v>616</v>
      </c>
      <c r="C451" t="s">
        <v>42</v>
      </c>
      <c r="D451" t="s">
        <v>48</v>
      </c>
      <c r="E451" t="s">
        <v>49</v>
      </c>
      <c r="F451" t="s">
        <v>17</v>
      </c>
      <c r="G451" t="s">
        <v>18</v>
      </c>
      <c r="H451" t="s">
        <v>27</v>
      </c>
      <c r="I451">
        <v>3</v>
      </c>
      <c r="J451">
        <v>3596.1</v>
      </c>
      <c r="K451">
        <v>2353.5300000000002</v>
      </c>
      <c r="L451">
        <v>1242.57</v>
      </c>
      <c r="M451" s="5" t="str">
        <f>TEXT(Table2[[#This Row],[Order Date]],"mm")</f>
        <v>11</v>
      </c>
      <c r="N451">
        <f>YEAR(Table2[[#This Row],[Order Date]])</f>
        <v>2025</v>
      </c>
    </row>
    <row r="452" spans="1:14" x14ac:dyDescent="0.3">
      <c r="A452" t="s">
        <v>654</v>
      </c>
      <c r="B452" t="s">
        <v>221</v>
      </c>
      <c r="C452" t="s">
        <v>47</v>
      </c>
      <c r="D452" t="s">
        <v>23</v>
      </c>
      <c r="E452" t="s">
        <v>24</v>
      </c>
      <c r="F452" t="s">
        <v>50</v>
      </c>
      <c r="G452" t="s">
        <v>51</v>
      </c>
      <c r="H452" t="s">
        <v>33</v>
      </c>
      <c r="I452">
        <v>2</v>
      </c>
      <c r="J452">
        <v>4508.68</v>
      </c>
      <c r="K452">
        <v>3008.56</v>
      </c>
      <c r="L452">
        <v>1500.12</v>
      </c>
      <c r="M452" s="5" t="str">
        <f>TEXT(Table2[[#This Row],[Order Date]],"mm")</f>
        <v>11</v>
      </c>
      <c r="N452">
        <f>YEAR(Table2[[#This Row],[Order Date]])</f>
        <v>2025</v>
      </c>
    </row>
    <row r="453" spans="1:14" x14ac:dyDescent="0.3">
      <c r="A453" t="s">
        <v>685</v>
      </c>
      <c r="B453" t="s">
        <v>575</v>
      </c>
      <c r="C453" t="s">
        <v>83</v>
      </c>
      <c r="D453" t="s">
        <v>54</v>
      </c>
      <c r="E453" t="s">
        <v>98</v>
      </c>
      <c r="F453" t="s">
        <v>50</v>
      </c>
      <c r="G453" t="s">
        <v>51</v>
      </c>
      <c r="H453" t="s">
        <v>44</v>
      </c>
      <c r="I453">
        <v>5</v>
      </c>
      <c r="J453">
        <v>11516.8</v>
      </c>
      <c r="K453">
        <v>9561.5</v>
      </c>
      <c r="L453">
        <v>1955.3</v>
      </c>
      <c r="M453" s="5" t="str">
        <f>TEXT(Table2[[#This Row],[Order Date]],"mm")</f>
        <v>11</v>
      </c>
      <c r="N453">
        <f>YEAR(Table2[[#This Row],[Order Date]])</f>
        <v>2025</v>
      </c>
    </row>
    <row r="454" spans="1:14" x14ac:dyDescent="0.3">
      <c r="A454" t="s">
        <v>693</v>
      </c>
      <c r="B454" t="s">
        <v>259</v>
      </c>
      <c r="C454" t="s">
        <v>94</v>
      </c>
      <c r="D454" t="s">
        <v>48</v>
      </c>
      <c r="E454" t="s">
        <v>84</v>
      </c>
      <c r="F454" t="s">
        <v>50</v>
      </c>
      <c r="G454" t="s">
        <v>80</v>
      </c>
      <c r="H454" t="s">
        <v>44</v>
      </c>
      <c r="I454">
        <v>9</v>
      </c>
      <c r="J454">
        <v>20678.939999999999</v>
      </c>
      <c r="K454">
        <v>16977.78</v>
      </c>
      <c r="L454">
        <v>3701.16</v>
      </c>
      <c r="M454" s="5" t="str">
        <f>TEXT(Table2[[#This Row],[Order Date]],"mm")</f>
        <v>11</v>
      </c>
      <c r="N454">
        <f>YEAR(Table2[[#This Row],[Order Date]])</f>
        <v>2025</v>
      </c>
    </row>
    <row r="455" spans="1:14" x14ac:dyDescent="0.3">
      <c r="A455" t="s">
        <v>700</v>
      </c>
      <c r="B455" t="s">
        <v>93</v>
      </c>
      <c r="C455" t="s">
        <v>335</v>
      </c>
      <c r="D455" t="s">
        <v>15</v>
      </c>
      <c r="E455" t="s">
        <v>16</v>
      </c>
      <c r="F455" t="s">
        <v>50</v>
      </c>
      <c r="G455" t="s">
        <v>95</v>
      </c>
      <c r="H455" t="s">
        <v>64</v>
      </c>
      <c r="I455">
        <v>8</v>
      </c>
      <c r="J455">
        <v>16361.52</v>
      </c>
      <c r="K455">
        <v>12900.64</v>
      </c>
      <c r="L455">
        <v>3460.88</v>
      </c>
      <c r="M455" s="5" t="str">
        <f>TEXT(Table2[[#This Row],[Order Date]],"mm")</f>
        <v>11</v>
      </c>
      <c r="N455">
        <f>YEAR(Table2[[#This Row],[Order Date]])</f>
        <v>2025</v>
      </c>
    </row>
    <row r="456" spans="1:14" x14ac:dyDescent="0.3">
      <c r="A456" t="s">
        <v>726</v>
      </c>
      <c r="B456" t="s">
        <v>727</v>
      </c>
      <c r="C456" t="s">
        <v>335</v>
      </c>
      <c r="D456" t="s">
        <v>54</v>
      </c>
      <c r="E456" t="s">
        <v>133</v>
      </c>
      <c r="F456" t="s">
        <v>25</v>
      </c>
      <c r="G456" t="s">
        <v>56</v>
      </c>
      <c r="H456" t="s">
        <v>33</v>
      </c>
      <c r="I456">
        <v>9</v>
      </c>
      <c r="J456">
        <v>1856.52</v>
      </c>
      <c r="K456">
        <v>1508.76</v>
      </c>
      <c r="L456">
        <v>347.76</v>
      </c>
      <c r="M456" s="5" t="str">
        <f>TEXT(Table2[[#This Row],[Order Date]],"mm")</f>
        <v>11</v>
      </c>
      <c r="N456">
        <f>YEAR(Table2[[#This Row],[Order Date]])</f>
        <v>2025</v>
      </c>
    </row>
    <row r="457" spans="1:14" x14ac:dyDescent="0.3">
      <c r="A457" t="s">
        <v>739</v>
      </c>
      <c r="B457" t="s">
        <v>740</v>
      </c>
      <c r="C457" t="s">
        <v>94</v>
      </c>
      <c r="D457" t="s">
        <v>48</v>
      </c>
      <c r="E457" t="s">
        <v>67</v>
      </c>
      <c r="F457" t="s">
        <v>50</v>
      </c>
      <c r="G457" t="s">
        <v>80</v>
      </c>
      <c r="H457" t="s">
        <v>39</v>
      </c>
      <c r="I457">
        <v>4</v>
      </c>
      <c r="J457">
        <v>6751.32</v>
      </c>
      <c r="K457">
        <v>4523.68</v>
      </c>
      <c r="L457">
        <v>2227.64</v>
      </c>
      <c r="M457" s="5" t="str">
        <f>TEXT(Table2[[#This Row],[Order Date]],"mm")</f>
        <v>11</v>
      </c>
      <c r="N457">
        <f>YEAR(Table2[[#This Row],[Order Date]])</f>
        <v>2025</v>
      </c>
    </row>
    <row r="458" spans="1:14" x14ac:dyDescent="0.3">
      <c r="A458" t="s">
        <v>756</v>
      </c>
      <c r="B458" t="s">
        <v>254</v>
      </c>
      <c r="C458" t="s">
        <v>22</v>
      </c>
      <c r="D458" t="s">
        <v>15</v>
      </c>
      <c r="E458" t="s">
        <v>183</v>
      </c>
      <c r="F458" t="s">
        <v>25</v>
      </c>
      <c r="G458" t="s">
        <v>32</v>
      </c>
      <c r="H458" t="s">
        <v>19</v>
      </c>
      <c r="I458">
        <v>7</v>
      </c>
      <c r="J458">
        <v>16899.259999999998</v>
      </c>
      <c r="K458">
        <v>12306.28</v>
      </c>
      <c r="L458">
        <v>4592.9799999999996</v>
      </c>
      <c r="M458" s="5" t="str">
        <f>TEXT(Table2[[#This Row],[Order Date]],"mm")</f>
        <v>11</v>
      </c>
      <c r="N458">
        <f>YEAR(Table2[[#This Row],[Order Date]])</f>
        <v>2025</v>
      </c>
    </row>
    <row r="459" spans="1:14" x14ac:dyDescent="0.3">
      <c r="A459" t="s">
        <v>758</v>
      </c>
      <c r="B459" t="s">
        <v>259</v>
      </c>
      <c r="C459" t="s">
        <v>206</v>
      </c>
      <c r="D459" t="s">
        <v>23</v>
      </c>
      <c r="E459" t="s">
        <v>59</v>
      </c>
      <c r="F459" t="s">
        <v>17</v>
      </c>
      <c r="G459" t="s">
        <v>116</v>
      </c>
      <c r="H459" t="s">
        <v>85</v>
      </c>
      <c r="I459">
        <v>10</v>
      </c>
      <c r="J459">
        <v>15827.1</v>
      </c>
      <c r="K459">
        <v>10843.1</v>
      </c>
      <c r="L459">
        <v>4984</v>
      </c>
      <c r="M459" s="5" t="str">
        <f>TEXT(Table2[[#This Row],[Order Date]],"mm")</f>
        <v>11</v>
      </c>
      <c r="N459">
        <f>YEAR(Table2[[#This Row],[Order Date]])</f>
        <v>2025</v>
      </c>
    </row>
    <row r="460" spans="1:14" x14ac:dyDescent="0.3">
      <c r="A460" t="s">
        <v>781</v>
      </c>
      <c r="B460" t="s">
        <v>782</v>
      </c>
      <c r="C460" t="s">
        <v>113</v>
      </c>
      <c r="D460" t="s">
        <v>23</v>
      </c>
      <c r="E460" t="s">
        <v>43</v>
      </c>
      <c r="F460" t="s">
        <v>17</v>
      </c>
      <c r="G460" t="s">
        <v>63</v>
      </c>
      <c r="H460" t="s">
        <v>85</v>
      </c>
      <c r="I460">
        <v>7</v>
      </c>
      <c r="J460">
        <v>6912.01</v>
      </c>
      <c r="K460">
        <v>5335.96</v>
      </c>
      <c r="L460">
        <v>1576.05</v>
      </c>
      <c r="M460" s="5" t="str">
        <f>TEXT(Table2[[#This Row],[Order Date]],"mm")</f>
        <v>11</v>
      </c>
      <c r="N460">
        <f>YEAR(Table2[[#This Row],[Order Date]])</f>
        <v>2025</v>
      </c>
    </row>
    <row r="461" spans="1:14" x14ac:dyDescent="0.3">
      <c r="A461" t="s">
        <v>796</v>
      </c>
      <c r="B461" t="s">
        <v>487</v>
      </c>
      <c r="C461" t="s">
        <v>106</v>
      </c>
      <c r="D461" t="s">
        <v>54</v>
      </c>
      <c r="E461" t="s">
        <v>98</v>
      </c>
      <c r="F461" t="s">
        <v>17</v>
      </c>
      <c r="G461" t="s">
        <v>38</v>
      </c>
      <c r="H461" t="s">
        <v>33</v>
      </c>
      <c r="I461">
        <v>3</v>
      </c>
      <c r="J461">
        <v>4764.78</v>
      </c>
      <c r="K461">
        <v>3965.37</v>
      </c>
      <c r="L461">
        <v>799.41</v>
      </c>
      <c r="M461" s="5" t="str">
        <f>TEXT(Table2[[#This Row],[Order Date]],"mm")</f>
        <v>11</v>
      </c>
      <c r="N461">
        <f>YEAR(Table2[[#This Row],[Order Date]])</f>
        <v>2025</v>
      </c>
    </row>
    <row r="462" spans="1:14" x14ac:dyDescent="0.3">
      <c r="A462" t="s">
        <v>798</v>
      </c>
      <c r="B462" t="s">
        <v>782</v>
      </c>
      <c r="C462" t="s">
        <v>206</v>
      </c>
      <c r="D462" t="s">
        <v>48</v>
      </c>
      <c r="E462" t="s">
        <v>107</v>
      </c>
      <c r="F462" t="s">
        <v>25</v>
      </c>
      <c r="G462" t="s">
        <v>158</v>
      </c>
      <c r="H462" t="s">
        <v>19</v>
      </c>
      <c r="I462">
        <v>5</v>
      </c>
      <c r="J462">
        <v>3029.1</v>
      </c>
      <c r="K462">
        <v>2623.5</v>
      </c>
      <c r="L462">
        <v>405.6</v>
      </c>
      <c r="M462" s="5" t="str">
        <f>TEXT(Table2[[#This Row],[Order Date]],"mm")</f>
        <v>11</v>
      </c>
      <c r="N462">
        <f>YEAR(Table2[[#This Row],[Order Date]])</f>
        <v>2025</v>
      </c>
    </row>
    <row r="463" spans="1:14" x14ac:dyDescent="0.3">
      <c r="A463" t="s">
        <v>40</v>
      </c>
      <c r="B463" t="s">
        <v>41</v>
      </c>
      <c r="C463" t="s">
        <v>42</v>
      </c>
      <c r="D463" t="s">
        <v>23</v>
      </c>
      <c r="E463" t="s">
        <v>43</v>
      </c>
      <c r="F463" t="s">
        <v>25</v>
      </c>
      <c r="G463" t="s">
        <v>26</v>
      </c>
      <c r="H463" t="s">
        <v>44</v>
      </c>
      <c r="I463">
        <v>3</v>
      </c>
      <c r="J463">
        <v>5638.95</v>
      </c>
      <c r="K463">
        <v>4626.2700000000004</v>
      </c>
      <c r="L463">
        <v>1012.68</v>
      </c>
      <c r="M463" s="5" t="str">
        <f>TEXT(Table2[[#This Row],[Order Date]],"mm")</f>
        <v>12</v>
      </c>
      <c r="N463">
        <f>YEAR(Table2[[#This Row],[Order Date]])</f>
        <v>2025</v>
      </c>
    </row>
    <row r="464" spans="1:14" x14ac:dyDescent="0.3">
      <c r="A464" t="s">
        <v>121</v>
      </c>
      <c r="B464" t="s">
        <v>122</v>
      </c>
      <c r="C464" t="s">
        <v>36</v>
      </c>
      <c r="D464" t="s">
        <v>54</v>
      </c>
      <c r="E464" t="s">
        <v>98</v>
      </c>
      <c r="F464" t="s">
        <v>50</v>
      </c>
      <c r="G464" t="s">
        <v>95</v>
      </c>
      <c r="H464" t="s">
        <v>60</v>
      </c>
      <c r="I464">
        <v>1</v>
      </c>
      <c r="J464">
        <v>595.83000000000004</v>
      </c>
      <c r="K464">
        <v>448.19</v>
      </c>
      <c r="L464">
        <v>147.63999999999999</v>
      </c>
      <c r="M464" s="5" t="str">
        <f>TEXT(Table2[[#This Row],[Order Date]],"mm")</f>
        <v>12</v>
      </c>
      <c r="N464">
        <f>YEAR(Table2[[#This Row],[Order Date]])</f>
        <v>2025</v>
      </c>
    </row>
    <row r="465" spans="1:14" x14ac:dyDescent="0.3">
      <c r="A465" t="s">
        <v>135</v>
      </c>
      <c r="B465" t="s">
        <v>136</v>
      </c>
      <c r="C465" t="s">
        <v>106</v>
      </c>
      <c r="D465" t="s">
        <v>15</v>
      </c>
      <c r="E465" t="s">
        <v>31</v>
      </c>
      <c r="F465" t="s">
        <v>50</v>
      </c>
      <c r="G465" t="s">
        <v>134</v>
      </c>
      <c r="H465" t="s">
        <v>85</v>
      </c>
      <c r="I465">
        <v>5</v>
      </c>
      <c r="J465">
        <v>7846.6</v>
      </c>
      <c r="K465">
        <v>5362.15</v>
      </c>
      <c r="L465">
        <v>2484.4499999999998</v>
      </c>
      <c r="M465" s="5" t="str">
        <f>TEXT(Table2[[#This Row],[Order Date]],"mm")</f>
        <v>12</v>
      </c>
      <c r="N465">
        <f>YEAR(Table2[[#This Row],[Order Date]])</f>
        <v>2025</v>
      </c>
    </row>
    <row r="466" spans="1:14" x14ac:dyDescent="0.3">
      <c r="A466" t="s">
        <v>137</v>
      </c>
      <c r="B466" t="s">
        <v>138</v>
      </c>
      <c r="C466" t="s">
        <v>14</v>
      </c>
      <c r="D466" t="s">
        <v>48</v>
      </c>
      <c r="E466" t="s">
        <v>107</v>
      </c>
      <c r="F466" t="s">
        <v>50</v>
      </c>
      <c r="G466" t="s">
        <v>134</v>
      </c>
      <c r="H466" t="s">
        <v>19</v>
      </c>
      <c r="I466">
        <v>7</v>
      </c>
      <c r="J466">
        <v>7226.03</v>
      </c>
      <c r="K466">
        <v>6227.9</v>
      </c>
      <c r="L466">
        <v>998.13</v>
      </c>
      <c r="M466" s="5" t="str">
        <f>TEXT(Table2[[#This Row],[Order Date]],"mm")</f>
        <v>12</v>
      </c>
      <c r="N466">
        <f>YEAR(Table2[[#This Row],[Order Date]])</f>
        <v>2025</v>
      </c>
    </row>
    <row r="467" spans="1:14" x14ac:dyDescent="0.3">
      <c r="A467" t="s">
        <v>151</v>
      </c>
      <c r="B467" t="s">
        <v>152</v>
      </c>
      <c r="C467" t="s">
        <v>103</v>
      </c>
      <c r="D467" t="s">
        <v>23</v>
      </c>
      <c r="E467" t="s">
        <v>24</v>
      </c>
      <c r="F467" t="s">
        <v>25</v>
      </c>
      <c r="G467" t="s">
        <v>26</v>
      </c>
      <c r="H467" t="s">
        <v>64</v>
      </c>
      <c r="I467">
        <v>4</v>
      </c>
      <c r="J467">
        <v>8705.52</v>
      </c>
      <c r="K467">
        <v>5566.56</v>
      </c>
      <c r="L467">
        <v>3138.96</v>
      </c>
      <c r="M467" s="5" t="str">
        <f>TEXT(Table2[[#This Row],[Order Date]],"mm")</f>
        <v>12</v>
      </c>
      <c r="N467">
        <f>YEAR(Table2[[#This Row],[Order Date]])</f>
        <v>2025</v>
      </c>
    </row>
    <row r="468" spans="1:14" x14ac:dyDescent="0.3">
      <c r="A468" t="s">
        <v>155</v>
      </c>
      <c r="B468" t="s">
        <v>156</v>
      </c>
      <c r="C468" t="s">
        <v>83</v>
      </c>
      <c r="D468" t="s">
        <v>23</v>
      </c>
      <c r="E468" t="s">
        <v>37</v>
      </c>
      <c r="F468" t="s">
        <v>25</v>
      </c>
      <c r="G468" t="s">
        <v>56</v>
      </c>
      <c r="H468" t="s">
        <v>85</v>
      </c>
      <c r="I468">
        <v>10</v>
      </c>
      <c r="J468">
        <v>7837.2</v>
      </c>
      <c r="K468">
        <v>4951.5</v>
      </c>
      <c r="L468">
        <v>2885.7</v>
      </c>
      <c r="M468" s="5" t="str">
        <f>TEXT(Table2[[#This Row],[Order Date]],"mm")</f>
        <v>12</v>
      </c>
      <c r="N468">
        <f>YEAR(Table2[[#This Row],[Order Date]])</f>
        <v>2025</v>
      </c>
    </row>
    <row r="469" spans="1:14" x14ac:dyDescent="0.3">
      <c r="A469" t="s">
        <v>226</v>
      </c>
      <c r="B469" t="s">
        <v>227</v>
      </c>
      <c r="C469" t="s">
        <v>94</v>
      </c>
      <c r="D469" t="s">
        <v>48</v>
      </c>
      <c r="E469" t="s">
        <v>84</v>
      </c>
      <c r="F469" t="s">
        <v>50</v>
      </c>
      <c r="G469" t="s">
        <v>51</v>
      </c>
      <c r="H469" t="s">
        <v>64</v>
      </c>
      <c r="I469">
        <v>2</v>
      </c>
      <c r="J469">
        <v>3337.3</v>
      </c>
      <c r="K469">
        <v>2176.4</v>
      </c>
      <c r="L469">
        <v>1160.9000000000001</v>
      </c>
      <c r="M469" s="5" t="str">
        <f>TEXT(Table2[[#This Row],[Order Date]],"mm")</f>
        <v>12</v>
      </c>
      <c r="N469">
        <f>YEAR(Table2[[#This Row],[Order Date]])</f>
        <v>2025</v>
      </c>
    </row>
    <row r="470" spans="1:14" x14ac:dyDescent="0.3">
      <c r="A470" t="s">
        <v>299</v>
      </c>
      <c r="B470" t="s">
        <v>300</v>
      </c>
      <c r="C470" t="s">
        <v>36</v>
      </c>
      <c r="D470" t="s">
        <v>15</v>
      </c>
      <c r="E470" t="s">
        <v>31</v>
      </c>
      <c r="F470" t="s">
        <v>25</v>
      </c>
      <c r="G470" t="s">
        <v>32</v>
      </c>
      <c r="H470" t="s">
        <v>85</v>
      </c>
      <c r="I470">
        <v>6</v>
      </c>
      <c r="J470">
        <v>9319.86</v>
      </c>
      <c r="K470">
        <v>6969.72</v>
      </c>
      <c r="L470">
        <v>2350.14</v>
      </c>
      <c r="M470" s="5" t="str">
        <f>TEXT(Table2[[#This Row],[Order Date]],"mm")</f>
        <v>12</v>
      </c>
      <c r="N470">
        <f>YEAR(Table2[[#This Row],[Order Date]])</f>
        <v>2025</v>
      </c>
    </row>
    <row r="471" spans="1:14" x14ac:dyDescent="0.3">
      <c r="A471" t="s">
        <v>314</v>
      </c>
      <c r="B471" t="s">
        <v>315</v>
      </c>
      <c r="C471" t="s">
        <v>83</v>
      </c>
      <c r="D471" t="s">
        <v>23</v>
      </c>
      <c r="E471" t="s">
        <v>43</v>
      </c>
      <c r="F471" t="s">
        <v>50</v>
      </c>
      <c r="G471" t="s">
        <v>95</v>
      </c>
      <c r="H471" t="s">
        <v>33</v>
      </c>
      <c r="I471">
        <v>5</v>
      </c>
      <c r="J471">
        <v>1016.45</v>
      </c>
      <c r="K471">
        <v>873.65</v>
      </c>
      <c r="L471">
        <v>142.80000000000001</v>
      </c>
      <c r="M471" s="5" t="str">
        <f>TEXT(Table2[[#This Row],[Order Date]],"mm")</f>
        <v>12</v>
      </c>
      <c r="N471">
        <f>YEAR(Table2[[#This Row],[Order Date]])</f>
        <v>2025</v>
      </c>
    </row>
    <row r="472" spans="1:14" x14ac:dyDescent="0.3">
      <c r="A472" t="s">
        <v>330</v>
      </c>
      <c r="B472" t="s">
        <v>331</v>
      </c>
      <c r="C472" t="s">
        <v>83</v>
      </c>
      <c r="D472" t="s">
        <v>23</v>
      </c>
      <c r="E472" t="s">
        <v>24</v>
      </c>
      <c r="F472" t="s">
        <v>25</v>
      </c>
      <c r="G472" t="s">
        <v>56</v>
      </c>
      <c r="H472" t="s">
        <v>27</v>
      </c>
      <c r="I472">
        <v>5</v>
      </c>
      <c r="J472">
        <v>9722.6</v>
      </c>
      <c r="K472">
        <v>7057.75</v>
      </c>
      <c r="L472">
        <v>2664.85</v>
      </c>
      <c r="M472" s="5" t="str">
        <f>TEXT(Table2[[#This Row],[Order Date]],"mm")</f>
        <v>12</v>
      </c>
      <c r="N472">
        <f>YEAR(Table2[[#This Row],[Order Date]])</f>
        <v>2025</v>
      </c>
    </row>
    <row r="473" spans="1:14" x14ac:dyDescent="0.3">
      <c r="A473" t="s">
        <v>354</v>
      </c>
      <c r="B473" t="s">
        <v>355</v>
      </c>
      <c r="C473" t="s">
        <v>74</v>
      </c>
      <c r="D473" t="s">
        <v>48</v>
      </c>
      <c r="E473" t="s">
        <v>67</v>
      </c>
      <c r="F473" t="s">
        <v>50</v>
      </c>
      <c r="G473" t="s">
        <v>134</v>
      </c>
      <c r="H473" t="s">
        <v>27</v>
      </c>
      <c r="I473">
        <v>6</v>
      </c>
      <c r="J473">
        <v>4260.4799999999996</v>
      </c>
      <c r="K473">
        <v>2986.5</v>
      </c>
      <c r="L473">
        <v>1273.98</v>
      </c>
      <c r="M473" s="5" t="str">
        <f>TEXT(Table2[[#This Row],[Order Date]],"mm")</f>
        <v>12</v>
      </c>
      <c r="N473">
        <f>YEAR(Table2[[#This Row],[Order Date]])</f>
        <v>2025</v>
      </c>
    </row>
    <row r="474" spans="1:14" x14ac:dyDescent="0.3">
      <c r="A474" t="s">
        <v>377</v>
      </c>
      <c r="B474" t="s">
        <v>378</v>
      </c>
      <c r="C474" t="s">
        <v>132</v>
      </c>
      <c r="D474" t="s">
        <v>15</v>
      </c>
      <c r="E474" t="s">
        <v>31</v>
      </c>
      <c r="F474" t="s">
        <v>25</v>
      </c>
      <c r="G474" t="s">
        <v>26</v>
      </c>
      <c r="H474" t="s">
        <v>85</v>
      </c>
      <c r="I474">
        <v>5</v>
      </c>
      <c r="J474">
        <v>12373.9</v>
      </c>
      <c r="K474">
        <v>9131.5</v>
      </c>
      <c r="L474">
        <v>3242.4</v>
      </c>
      <c r="M474" s="5" t="str">
        <f>TEXT(Table2[[#This Row],[Order Date]],"mm")</f>
        <v>12</v>
      </c>
      <c r="N474">
        <f>YEAR(Table2[[#This Row],[Order Date]])</f>
        <v>2025</v>
      </c>
    </row>
    <row r="475" spans="1:14" x14ac:dyDescent="0.3">
      <c r="A475" t="s">
        <v>401</v>
      </c>
      <c r="B475" t="s">
        <v>402</v>
      </c>
      <c r="C475" t="s">
        <v>94</v>
      </c>
      <c r="D475" t="s">
        <v>48</v>
      </c>
      <c r="E475" t="s">
        <v>49</v>
      </c>
      <c r="F475" t="s">
        <v>50</v>
      </c>
      <c r="G475" t="s">
        <v>134</v>
      </c>
      <c r="H475" t="s">
        <v>85</v>
      </c>
      <c r="I475">
        <v>3</v>
      </c>
      <c r="J475">
        <v>7132.11</v>
      </c>
      <c r="K475">
        <v>4830.93</v>
      </c>
      <c r="L475">
        <v>2301.1799999999998</v>
      </c>
      <c r="M475" s="5" t="str">
        <f>TEXT(Table2[[#This Row],[Order Date]],"mm")</f>
        <v>12</v>
      </c>
      <c r="N475">
        <f>YEAR(Table2[[#This Row],[Order Date]])</f>
        <v>2025</v>
      </c>
    </row>
    <row r="476" spans="1:14" x14ac:dyDescent="0.3">
      <c r="A476" t="s">
        <v>426</v>
      </c>
      <c r="B476" t="s">
        <v>427</v>
      </c>
      <c r="C476" t="s">
        <v>161</v>
      </c>
      <c r="D476" t="s">
        <v>54</v>
      </c>
      <c r="E476" t="s">
        <v>75</v>
      </c>
      <c r="F476" t="s">
        <v>17</v>
      </c>
      <c r="G476" t="s">
        <v>63</v>
      </c>
      <c r="H476" t="s">
        <v>33</v>
      </c>
      <c r="I476">
        <v>9</v>
      </c>
      <c r="J476">
        <v>16476.21</v>
      </c>
      <c r="K476">
        <v>13870.8</v>
      </c>
      <c r="L476">
        <v>2605.41</v>
      </c>
      <c r="M476" s="5" t="str">
        <f>TEXT(Table2[[#This Row],[Order Date]],"mm")</f>
        <v>12</v>
      </c>
      <c r="N476">
        <f>YEAR(Table2[[#This Row],[Order Date]])</f>
        <v>2025</v>
      </c>
    </row>
    <row r="477" spans="1:14" x14ac:dyDescent="0.3">
      <c r="A477" t="s">
        <v>454</v>
      </c>
      <c r="B477" t="s">
        <v>455</v>
      </c>
      <c r="C477" t="s">
        <v>14</v>
      </c>
      <c r="D477" t="s">
        <v>54</v>
      </c>
      <c r="E477" t="s">
        <v>55</v>
      </c>
      <c r="F477" t="s">
        <v>50</v>
      </c>
      <c r="G477" t="s">
        <v>95</v>
      </c>
      <c r="H477" t="s">
        <v>85</v>
      </c>
      <c r="I477">
        <v>2</v>
      </c>
      <c r="J477">
        <v>559.9</v>
      </c>
      <c r="K477">
        <v>453.98</v>
      </c>
      <c r="L477">
        <v>105.92</v>
      </c>
      <c r="M477" s="5" t="str">
        <f>TEXT(Table2[[#This Row],[Order Date]],"mm")</f>
        <v>12</v>
      </c>
      <c r="N477">
        <f>YEAR(Table2[[#This Row],[Order Date]])</f>
        <v>2025</v>
      </c>
    </row>
    <row r="478" spans="1:14" x14ac:dyDescent="0.3">
      <c r="A478" t="s">
        <v>496</v>
      </c>
      <c r="B478" t="s">
        <v>427</v>
      </c>
      <c r="C478" t="s">
        <v>113</v>
      </c>
      <c r="D478" t="s">
        <v>23</v>
      </c>
      <c r="E478" t="s">
        <v>43</v>
      </c>
      <c r="F478" t="s">
        <v>50</v>
      </c>
      <c r="G478" t="s">
        <v>95</v>
      </c>
      <c r="H478" t="s">
        <v>33</v>
      </c>
      <c r="I478">
        <v>3</v>
      </c>
      <c r="J478">
        <v>7003.35</v>
      </c>
      <c r="K478">
        <v>5523.03</v>
      </c>
      <c r="L478">
        <v>1480.32</v>
      </c>
      <c r="M478" s="5" t="str">
        <f>TEXT(Table2[[#This Row],[Order Date]],"mm")</f>
        <v>12</v>
      </c>
      <c r="N478">
        <f>YEAR(Table2[[#This Row],[Order Date]])</f>
        <v>2025</v>
      </c>
    </row>
    <row r="479" spans="1:14" x14ac:dyDescent="0.3">
      <c r="A479" t="s">
        <v>507</v>
      </c>
      <c r="B479" t="s">
        <v>508</v>
      </c>
      <c r="C479" t="s">
        <v>161</v>
      </c>
      <c r="D479" t="s">
        <v>54</v>
      </c>
      <c r="E479" t="s">
        <v>98</v>
      </c>
      <c r="F479" t="s">
        <v>25</v>
      </c>
      <c r="G479" t="s">
        <v>71</v>
      </c>
      <c r="H479" t="s">
        <v>44</v>
      </c>
      <c r="I479">
        <v>5</v>
      </c>
      <c r="J479">
        <v>8231.4500000000007</v>
      </c>
      <c r="K479">
        <v>5595.05</v>
      </c>
      <c r="L479">
        <v>2636.4</v>
      </c>
      <c r="M479" s="5" t="str">
        <f>TEXT(Table2[[#This Row],[Order Date]],"mm")</f>
        <v>12</v>
      </c>
      <c r="N479">
        <f>YEAR(Table2[[#This Row],[Order Date]])</f>
        <v>2025</v>
      </c>
    </row>
    <row r="480" spans="1:14" x14ac:dyDescent="0.3">
      <c r="A480" t="s">
        <v>528</v>
      </c>
      <c r="B480" t="s">
        <v>455</v>
      </c>
      <c r="C480" t="s">
        <v>47</v>
      </c>
      <c r="D480" t="s">
        <v>23</v>
      </c>
      <c r="E480" t="s">
        <v>43</v>
      </c>
      <c r="F480" t="s">
        <v>50</v>
      </c>
      <c r="G480" t="s">
        <v>80</v>
      </c>
      <c r="H480" t="s">
        <v>64</v>
      </c>
      <c r="I480">
        <v>9</v>
      </c>
      <c r="J480">
        <v>18673.650000000001</v>
      </c>
      <c r="K480">
        <v>14625.09</v>
      </c>
      <c r="L480">
        <v>4048.56</v>
      </c>
      <c r="M480" s="5" t="str">
        <f>TEXT(Table2[[#This Row],[Order Date]],"mm")</f>
        <v>12</v>
      </c>
      <c r="N480">
        <f>YEAR(Table2[[#This Row],[Order Date]])</f>
        <v>2025</v>
      </c>
    </row>
    <row r="481" spans="1:14" x14ac:dyDescent="0.3">
      <c r="A481" t="s">
        <v>537</v>
      </c>
      <c r="B481" t="s">
        <v>538</v>
      </c>
      <c r="C481" t="s">
        <v>74</v>
      </c>
      <c r="D481" t="s">
        <v>15</v>
      </c>
      <c r="E481" t="s">
        <v>31</v>
      </c>
      <c r="F481" t="s">
        <v>17</v>
      </c>
      <c r="G481" t="s">
        <v>76</v>
      </c>
      <c r="H481" t="s">
        <v>60</v>
      </c>
      <c r="I481">
        <v>10</v>
      </c>
      <c r="J481">
        <v>27248.9</v>
      </c>
      <c r="K481">
        <v>17982.900000000001</v>
      </c>
      <c r="L481">
        <v>9266</v>
      </c>
      <c r="M481" s="5" t="str">
        <f>TEXT(Table2[[#This Row],[Order Date]],"mm")</f>
        <v>12</v>
      </c>
      <c r="N481">
        <f>YEAR(Table2[[#This Row],[Order Date]])</f>
        <v>2025</v>
      </c>
    </row>
    <row r="482" spans="1:14" x14ac:dyDescent="0.3">
      <c r="A482" t="s">
        <v>567</v>
      </c>
      <c r="B482" t="s">
        <v>568</v>
      </c>
      <c r="C482" t="s">
        <v>42</v>
      </c>
      <c r="D482" t="s">
        <v>15</v>
      </c>
      <c r="E482" t="s">
        <v>183</v>
      </c>
      <c r="F482" t="s">
        <v>17</v>
      </c>
      <c r="G482" t="s">
        <v>76</v>
      </c>
      <c r="H482" t="s">
        <v>33</v>
      </c>
      <c r="I482">
        <v>1</v>
      </c>
      <c r="J482">
        <v>358.34</v>
      </c>
      <c r="K482">
        <v>234.93</v>
      </c>
      <c r="L482">
        <v>123.41</v>
      </c>
      <c r="M482" s="5" t="str">
        <f>TEXT(Table2[[#This Row],[Order Date]],"mm")</f>
        <v>12</v>
      </c>
      <c r="N482">
        <f>YEAR(Table2[[#This Row],[Order Date]])</f>
        <v>2025</v>
      </c>
    </row>
    <row r="483" spans="1:14" x14ac:dyDescent="0.3">
      <c r="A483" t="s">
        <v>599</v>
      </c>
      <c r="B483" t="s">
        <v>378</v>
      </c>
      <c r="C483" t="s">
        <v>113</v>
      </c>
      <c r="D483" t="s">
        <v>23</v>
      </c>
      <c r="E483" t="s">
        <v>43</v>
      </c>
      <c r="F483" t="s">
        <v>17</v>
      </c>
      <c r="G483" t="s">
        <v>63</v>
      </c>
      <c r="H483" t="s">
        <v>39</v>
      </c>
      <c r="I483">
        <v>2</v>
      </c>
      <c r="J483">
        <v>3626.24</v>
      </c>
      <c r="K483">
        <v>3143.86</v>
      </c>
      <c r="L483">
        <v>482.38</v>
      </c>
      <c r="M483" s="5" t="str">
        <f>TEXT(Table2[[#This Row],[Order Date]],"mm")</f>
        <v>12</v>
      </c>
      <c r="N483">
        <f>YEAR(Table2[[#This Row],[Order Date]])</f>
        <v>2025</v>
      </c>
    </row>
    <row r="484" spans="1:14" x14ac:dyDescent="0.3">
      <c r="A484" t="s">
        <v>638</v>
      </c>
      <c r="B484" t="s">
        <v>427</v>
      </c>
      <c r="C484" t="s">
        <v>263</v>
      </c>
      <c r="D484" t="s">
        <v>48</v>
      </c>
      <c r="E484" t="s">
        <v>67</v>
      </c>
      <c r="F484" t="s">
        <v>17</v>
      </c>
      <c r="G484" t="s">
        <v>18</v>
      </c>
      <c r="H484" t="s">
        <v>60</v>
      </c>
      <c r="I484">
        <v>4</v>
      </c>
      <c r="J484">
        <v>9270.8799999999992</v>
      </c>
      <c r="K484">
        <v>7382.12</v>
      </c>
      <c r="L484">
        <v>1888.76</v>
      </c>
      <c r="M484" s="5" t="str">
        <f>TEXT(Table2[[#This Row],[Order Date]],"mm")</f>
        <v>12</v>
      </c>
      <c r="N484">
        <f>YEAR(Table2[[#This Row],[Order Date]])</f>
        <v>2025</v>
      </c>
    </row>
    <row r="485" spans="1:14" x14ac:dyDescent="0.3">
      <c r="A485" t="s">
        <v>641</v>
      </c>
      <c r="B485" t="s">
        <v>427</v>
      </c>
      <c r="C485" t="s">
        <v>94</v>
      </c>
      <c r="D485" t="s">
        <v>23</v>
      </c>
      <c r="E485" t="s">
        <v>43</v>
      </c>
      <c r="F485" t="s">
        <v>50</v>
      </c>
      <c r="G485" t="s">
        <v>51</v>
      </c>
      <c r="H485" t="s">
        <v>39</v>
      </c>
      <c r="I485">
        <v>9</v>
      </c>
      <c r="J485">
        <v>25390.35</v>
      </c>
      <c r="K485">
        <v>17204.22</v>
      </c>
      <c r="L485">
        <v>8186.13</v>
      </c>
      <c r="M485" s="5" t="str">
        <f>TEXT(Table2[[#This Row],[Order Date]],"mm")</f>
        <v>12</v>
      </c>
      <c r="N485">
        <f>YEAR(Table2[[#This Row],[Order Date]])</f>
        <v>2025</v>
      </c>
    </row>
    <row r="486" spans="1:14" x14ac:dyDescent="0.3">
      <c r="A486" t="s">
        <v>643</v>
      </c>
      <c r="B486" t="s">
        <v>644</v>
      </c>
      <c r="C486" t="s">
        <v>22</v>
      </c>
      <c r="D486" t="s">
        <v>48</v>
      </c>
      <c r="E486" t="s">
        <v>49</v>
      </c>
      <c r="F486" t="s">
        <v>17</v>
      </c>
      <c r="G486" t="s">
        <v>76</v>
      </c>
      <c r="H486" t="s">
        <v>33</v>
      </c>
      <c r="I486">
        <v>4</v>
      </c>
      <c r="J486">
        <v>703.68</v>
      </c>
      <c r="K486">
        <v>577.52</v>
      </c>
      <c r="L486">
        <v>126.16</v>
      </c>
      <c r="M486" s="5" t="str">
        <f>TEXT(Table2[[#This Row],[Order Date]],"mm")</f>
        <v>12</v>
      </c>
      <c r="N486">
        <f>YEAR(Table2[[#This Row],[Order Date]])</f>
        <v>2025</v>
      </c>
    </row>
    <row r="487" spans="1:14" x14ac:dyDescent="0.3">
      <c r="A487" t="s">
        <v>648</v>
      </c>
      <c r="B487" t="s">
        <v>315</v>
      </c>
      <c r="C487" t="s">
        <v>74</v>
      </c>
      <c r="D487" t="s">
        <v>23</v>
      </c>
      <c r="E487" t="s">
        <v>43</v>
      </c>
      <c r="F487" t="s">
        <v>50</v>
      </c>
      <c r="G487" t="s">
        <v>134</v>
      </c>
      <c r="H487" t="s">
        <v>60</v>
      </c>
      <c r="I487">
        <v>5</v>
      </c>
      <c r="J487">
        <v>1000.45</v>
      </c>
      <c r="K487">
        <v>633.35</v>
      </c>
      <c r="L487">
        <v>367.1</v>
      </c>
      <c r="M487" s="5" t="str">
        <f>TEXT(Table2[[#This Row],[Order Date]],"mm")</f>
        <v>12</v>
      </c>
      <c r="N487">
        <f>YEAR(Table2[[#This Row],[Order Date]])</f>
        <v>2025</v>
      </c>
    </row>
    <row r="488" spans="1:14" x14ac:dyDescent="0.3">
      <c r="A488" t="s">
        <v>656</v>
      </c>
      <c r="B488" t="s">
        <v>657</v>
      </c>
      <c r="C488" t="s">
        <v>113</v>
      </c>
      <c r="D488" t="s">
        <v>48</v>
      </c>
      <c r="E488" t="s">
        <v>107</v>
      </c>
      <c r="F488" t="s">
        <v>25</v>
      </c>
      <c r="G488" t="s">
        <v>26</v>
      </c>
      <c r="H488" t="s">
        <v>60</v>
      </c>
      <c r="I488">
        <v>4</v>
      </c>
      <c r="J488">
        <v>10558.64</v>
      </c>
      <c r="K488">
        <v>7806.24</v>
      </c>
      <c r="L488">
        <v>2752.4</v>
      </c>
      <c r="M488" s="5" t="str">
        <f>TEXT(Table2[[#This Row],[Order Date]],"mm")</f>
        <v>12</v>
      </c>
      <c r="N488">
        <f>YEAR(Table2[[#This Row],[Order Date]])</f>
        <v>2025</v>
      </c>
    </row>
    <row r="489" spans="1:14" x14ac:dyDescent="0.3">
      <c r="A489" t="s">
        <v>663</v>
      </c>
      <c r="B489" t="s">
        <v>378</v>
      </c>
      <c r="C489" t="s">
        <v>263</v>
      </c>
      <c r="D489" t="s">
        <v>15</v>
      </c>
      <c r="E489" t="s">
        <v>89</v>
      </c>
      <c r="F489" t="s">
        <v>50</v>
      </c>
      <c r="G489" t="s">
        <v>134</v>
      </c>
      <c r="H489" t="s">
        <v>19</v>
      </c>
      <c r="I489">
        <v>6</v>
      </c>
      <c r="J489">
        <v>9035.4599999999991</v>
      </c>
      <c r="K489">
        <v>7814.46</v>
      </c>
      <c r="L489">
        <v>1221</v>
      </c>
      <c r="M489" s="5" t="str">
        <f>TEXT(Table2[[#This Row],[Order Date]],"mm")</f>
        <v>12</v>
      </c>
      <c r="N489">
        <f>YEAR(Table2[[#This Row],[Order Date]])</f>
        <v>2025</v>
      </c>
    </row>
    <row r="490" spans="1:14" x14ac:dyDescent="0.3">
      <c r="A490" t="s">
        <v>673</v>
      </c>
      <c r="B490" t="s">
        <v>568</v>
      </c>
      <c r="C490" t="s">
        <v>103</v>
      </c>
      <c r="D490" t="s">
        <v>54</v>
      </c>
      <c r="E490" t="s">
        <v>55</v>
      </c>
      <c r="F490" t="s">
        <v>25</v>
      </c>
      <c r="G490" t="s">
        <v>158</v>
      </c>
      <c r="H490" t="s">
        <v>27</v>
      </c>
      <c r="I490">
        <v>4</v>
      </c>
      <c r="J490">
        <v>3999.12</v>
      </c>
      <c r="K490">
        <v>3191.88</v>
      </c>
      <c r="L490">
        <v>807.24</v>
      </c>
      <c r="M490" s="5" t="str">
        <f>TEXT(Table2[[#This Row],[Order Date]],"mm")</f>
        <v>12</v>
      </c>
      <c r="N490">
        <f>YEAR(Table2[[#This Row],[Order Date]])</f>
        <v>2025</v>
      </c>
    </row>
    <row r="491" spans="1:14" x14ac:dyDescent="0.3">
      <c r="A491" t="s">
        <v>694</v>
      </c>
      <c r="B491" t="s">
        <v>644</v>
      </c>
      <c r="C491" t="s">
        <v>74</v>
      </c>
      <c r="D491" t="s">
        <v>15</v>
      </c>
      <c r="E491" t="s">
        <v>183</v>
      </c>
      <c r="F491" t="s">
        <v>25</v>
      </c>
      <c r="G491" t="s">
        <v>71</v>
      </c>
      <c r="H491" t="s">
        <v>27</v>
      </c>
      <c r="I491">
        <v>10</v>
      </c>
      <c r="J491">
        <v>5005.3</v>
      </c>
      <c r="K491">
        <v>4200.8</v>
      </c>
      <c r="L491">
        <v>804.5</v>
      </c>
      <c r="M491" s="5" t="str">
        <f>TEXT(Table2[[#This Row],[Order Date]],"mm")</f>
        <v>12</v>
      </c>
      <c r="N491">
        <f>YEAR(Table2[[#This Row],[Order Date]])</f>
        <v>2025</v>
      </c>
    </row>
    <row r="492" spans="1:14" x14ac:dyDescent="0.3">
      <c r="A492" t="s">
        <v>695</v>
      </c>
      <c r="B492" t="s">
        <v>696</v>
      </c>
      <c r="C492" t="s">
        <v>36</v>
      </c>
      <c r="D492" t="s">
        <v>48</v>
      </c>
      <c r="E492" t="s">
        <v>84</v>
      </c>
      <c r="F492" t="s">
        <v>17</v>
      </c>
      <c r="G492" t="s">
        <v>18</v>
      </c>
      <c r="H492" t="s">
        <v>19</v>
      </c>
      <c r="I492">
        <v>2</v>
      </c>
      <c r="J492">
        <v>459.28</v>
      </c>
      <c r="K492">
        <v>301.76</v>
      </c>
      <c r="L492">
        <v>157.52000000000001</v>
      </c>
      <c r="M492" s="5" t="str">
        <f>TEXT(Table2[[#This Row],[Order Date]],"mm")</f>
        <v>12</v>
      </c>
      <c r="N492">
        <f>YEAR(Table2[[#This Row],[Order Date]])</f>
        <v>2025</v>
      </c>
    </row>
    <row r="493" spans="1:14" x14ac:dyDescent="0.3">
      <c r="A493" t="s">
        <v>722</v>
      </c>
      <c r="B493" t="s">
        <v>315</v>
      </c>
      <c r="C493" t="s">
        <v>335</v>
      </c>
      <c r="D493" t="s">
        <v>48</v>
      </c>
      <c r="E493" t="s">
        <v>84</v>
      </c>
      <c r="F493" t="s">
        <v>50</v>
      </c>
      <c r="G493" t="s">
        <v>51</v>
      </c>
      <c r="H493" t="s">
        <v>64</v>
      </c>
      <c r="I493">
        <v>9</v>
      </c>
      <c r="J493">
        <v>2445.3000000000002</v>
      </c>
      <c r="K493">
        <v>1774.53</v>
      </c>
      <c r="L493">
        <v>670.77</v>
      </c>
      <c r="M493" s="5" t="str">
        <f>TEXT(Table2[[#This Row],[Order Date]],"mm")</f>
        <v>12</v>
      </c>
      <c r="N493">
        <f>YEAR(Table2[[#This Row],[Order Date]])</f>
        <v>2025</v>
      </c>
    </row>
    <row r="494" spans="1:14" x14ac:dyDescent="0.3">
      <c r="A494" t="s">
        <v>723</v>
      </c>
      <c r="B494" t="s">
        <v>136</v>
      </c>
      <c r="C494" t="s">
        <v>103</v>
      </c>
      <c r="D494" t="s">
        <v>54</v>
      </c>
      <c r="E494" t="s">
        <v>55</v>
      </c>
      <c r="F494" t="s">
        <v>50</v>
      </c>
      <c r="G494" t="s">
        <v>80</v>
      </c>
      <c r="H494" t="s">
        <v>19</v>
      </c>
      <c r="I494">
        <v>8</v>
      </c>
      <c r="J494">
        <v>17545.2</v>
      </c>
      <c r="K494">
        <v>12931.44</v>
      </c>
      <c r="L494">
        <v>4613.76</v>
      </c>
      <c r="M494" s="5" t="str">
        <f>TEXT(Table2[[#This Row],[Order Date]],"mm")</f>
        <v>12</v>
      </c>
      <c r="N494">
        <f>YEAR(Table2[[#This Row],[Order Date]])</f>
        <v>2025</v>
      </c>
    </row>
    <row r="495" spans="1:14" x14ac:dyDescent="0.3">
      <c r="A495" t="s">
        <v>724</v>
      </c>
      <c r="B495" t="s">
        <v>725</v>
      </c>
      <c r="C495" t="s">
        <v>263</v>
      </c>
      <c r="D495" t="s">
        <v>48</v>
      </c>
      <c r="E495" t="s">
        <v>84</v>
      </c>
      <c r="F495" t="s">
        <v>25</v>
      </c>
      <c r="G495" t="s">
        <v>56</v>
      </c>
      <c r="H495" t="s">
        <v>27</v>
      </c>
      <c r="I495">
        <v>8</v>
      </c>
      <c r="J495">
        <v>5996.88</v>
      </c>
      <c r="K495">
        <v>4247.2</v>
      </c>
      <c r="L495">
        <v>1749.68</v>
      </c>
      <c r="M495" s="5" t="str">
        <f>TEXT(Table2[[#This Row],[Order Date]],"mm")</f>
        <v>12</v>
      </c>
      <c r="N495">
        <f>YEAR(Table2[[#This Row],[Order Date]])</f>
        <v>2025</v>
      </c>
    </row>
    <row r="496" spans="1:14" x14ac:dyDescent="0.3">
      <c r="A496" t="s">
        <v>766</v>
      </c>
      <c r="B496" t="s">
        <v>427</v>
      </c>
      <c r="C496" t="s">
        <v>79</v>
      </c>
      <c r="D496" t="s">
        <v>54</v>
      </c>
      <c r="E496" t="s">
        <v>98</v>
      </c>
      <c r="F496" t="s">
        <v>25</v>
      </c>
      <c r="G496" t="s">
        <v>32</v>
      </c>
      <c r="H496" t="s">
        <v>44</v>
      </c>
      <c r="I496">
        <v>2</v>
      </c>
      <c r="J496">
        <v>1276.4000000000001</v>
      </c>
      <c r="K496">
        <v>1007.6</v>
      </c>
      <c r="L496">
        <v>268.8</v>
      </c>
      <c r="M496" s="5" t="str">
        <f>TEXT(Table2[[#This Row],[Order Date]],"mm")</f>
        <v>12</v>
      </c>
      <c r="N496">
        <f>YEAR(Table2[[#This Row],[Order Date]])</f>
        <v>2025</v>
      </c>
    </row>
    <row r="497" spans="1:14" x14ac:dyDescent="0.3">
      <c r="A497" t="s">
        <v>774</v>
      </c>
      <c r="B497" t="s">
        <v>152</v>
      </c>
      <c r="C497" t="s">
        <v>70</v>
      </c>
      <c r="D497" t="s">
        <v>23</v>
      </c>
      <c r="E497" t="s">
        <v>59</v>
      </c>
      <c r="F497" t="s">
        <v>50</v>
      </c>
      <c r="G497" t="s">
        <v>95</v>
      </c>
      <c r="H497" t="s">
        <v>27</v>
      </c>
      <c r="I497">
        <v>6</v>
      </c>
      <c r="J497">
        <v>12912.12</v>
      </c>
      <c r="K497">
        <v>10762.44</v>
      </c>
      <c r="L497">
        <v>2149.6799999999998</v>
      </c>
      <c r="M497" s="5" t="str">
        <f>TEXT(Table2[[#This Row],[Order Date]],"mm")</f>
        <v>12</v>
      </c>
      <c r="N497">
        <f>YEAR(Table2[[#This Row],[Order Date]])</f>
        <v>2025</v>
      </c>
    </row>
    <row r="498" spans="1:14" x14ac:dyDescent="0.3">
      <c r="A498" t="s">
        <v>813</v>
      </c>
      <c r="B498" t="s">
        <v>814</v>
      </c>
      <c r="C498" t="s">
        <v>83</v>
      </c>
      <c r="D498" t="s">
        <v>23</v>
      </c>
      <c r="E498" t="s">
        <v>59</v>
      </c>
      <c r="F498" t="s">
        <v>50</v>
      </c>
      <c r="G498" t="s">
        <v>80</v>
      </c>
      <c r="H498" t="s">
        <v>44</v>
      </c>
      <c r="I498">
        <v>6</v>
      </c>
      <c r="J498">
        <v>7012.5</v>
      </c>
      <c r="K498">
        <v>5048.16</v>
      </c>
      <c r="L498">
        <v>1964.34</v>
      </c>
      <c r="M498" s="5" t="str">
        <f>TEXT(Table2[[#This Row],[Order Date]],"mm")</f>
        <v>12</v>
      </c>
      <c r="N498">
        <f>YEAR(Table2[[#This Row],[Order Date]])</f>
        <v>2025</v>
      </c>
    </row>
    <row r="499" spans="1:14" x14ac:dyDescent="0.3">
      <c r="A499" t="s">
        <v>829</v>
      </c>
      <c r="B499" t="s">
        <v>830</v>
      </c>
      <c r="C499" t="s">
        <v>206</v>
      </c>
      <c r="D499" t="s">
        <v>48</v>
      </c>
      <c r="E499" t="s">
        <v>107</v>
      </c>
      <c r="F499" t="s">
        <v>25</v>
      </c>
      <c r="G499" t="s">
        <v>158</v>
      </c>
      <c r="H499" t="s">
        <v>64</v>
      </c>
      <c r="I499">
        <v>9</v>
      </c>
      <c r="J499">
        <v>22322.97</v>
      </c>
      <c r="K499">
        <v>16169.76</v>
      </c>
      <c r="L499">
        <v>6153.21</v>
      </c>
      <c r="M499" s="5" t="str">
        <f>TEXT(Table2[[#This Row],[Order Date]],"mm")</f>
        <v>12</v>
      </c>
      <c r="N499">
        <f>YEAR(Table2[[#This Row],[Order Date]])</f>
        <v>2025</v>
      </c>
    </row>
    <row r="500" spans="1:14" x14ac:dyDescent="0.3">
      <c r="A500" t="s">
        <v>833</v>
      </c>
      <c r="B500" t="s">
        <v>538</v>
      </c>
      <c r="C500" t="s">
        <v>22</v>
      </c>
      <c r="D500" t="s">
        <v>54</v>
      </c>
      <c r="E500" t="s">
        <v>75</v>
      </c>
      <c r="F500" t="s">
        <v>25</v>
      </c>
      <c r="G500" t="s">
        <v>26</v>
      </c>
      <c r="H500" t="s">
        <v>85</v>
      </c>
      <c r="I500">
        <v>6</v>
      </c>
      <c r="J500">
        <v>8977.32</v>
      </c>
      <c r="K500">
        <v>6423.42</v>
      </c>
      <c r="L500">
        <v>2553.9</v>
      </c>
      <c r="M500" s="5" t="str">
        <f>TEXT(Table2[[#This Row],[Order Date]],"mm")</f>
        <v>12</v>
      </c>
      <c r="N500">
        <f>YEAR(Table2[[#This Row],[Order Date]])</f>
        <v>2025</v>
      </c>
    </row>
    <row r="501" spans="1:14" x14ac:dyDescent="0.3">
      <c r="A501" t="s">
        <v>838</v>
      </c>
      <c r="B501" t="s">
        <v>331</v>
      </c>
      <c r="C501" t="s">
        <v>22</v>
      </c>
      <c r="D501" t="s">
        <v>15</v>
      </c>
      <c r="E501" t="s">
        <v>183</v>
      </c>
      <c r="F501" t="s">
        <v>17</v>
      </c>
      <c r="G501" t="s">
        <v>38</v>
      </c>
      <c r="H501" t="s">
        <v>19</v>
      </c>
      <c r="I501">
        <v>6</v>
      </c>
      <c r="J501">
        <v>15718.38</v>
      </c>
      <c r="K501">
        <v>10812.9</v>
      </c>
      <c r="L501">
        <v>4905.4799999999996</v>
      </c>
      <c r="M501" s="5" t="str">
        <f>TEXT(Table2[[#This Row],[Order Date]],"mm")</f>
        <v>12</v>
      </c>
      <c r="N501">
        <f>YEAR(Table2[[#This Row],[Order Date]])</f>
        <v>2025</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2"/>
  <sheetViews>
    <sheetView showGridLines="0" tabSelected="1" zoomScale="80" zoomScaleNormal="80" workbookViewId="0">
      <selection activeCell="C4" sqref="C4"/>
    </sheetView>
  </sheetViews>
  <sheetFormatPr defaultRowHeight="14.4" x14ac:dyDescent="0.3"/>
  <cols>
    <col min="2" max="2" width="11.77734375" customWidth="1"/>
    <col min="4" max="4" width="21.109375" customWidth="1"/>
    <col min="6" max="6" width="2.88671875" customWidth="1"/>
    <col min="9" max="9" width="20" customWidth="1"/>
    <col min="10" max="10" width="23" customWidth="1"/>
    <col min="11" max="11" width="0.5546875" customWidth="1"/>
    <col min="13" max="13" width="27.77734375" customWidth="1"/>
    <col min="14" max="14" width="16.6640625" customWidth="1"/>
    <col min="18" max="18" width="42" customWidth="1"/>
    <col min="22" max="22" width="31.88671875" bestFit="1" customWidth="1"/>
  </cols>
  <sheetData>
    <row r="1" spans="1:19" ht="25.2" x14ac:dyDescent="0.6">
      <c r="A1" s="12"/>
      <c r="B1" s="12"/>
      <c r="C1" s="12"/>
      <c r="D1" s="12"/>
      <c r="E1" s="12"/>
      <c r="F1" s="12"/>
      <c r="G1" s="12"/>
      <c r="H1" s="12"/>
      <c r="J1" s="13" t="s">
        <v>879</v>
      </c>
      <c r="K1" s="12"/>
      <c r="M1" s="12"/>
      <c r="N1" s="12"/>
      <c r="O1" s="12"/>
      <c r="P1" s="12"/>
      <c r="Q1" s="12"/>
      <c r="R1" s="12"/>
      <c r="S1" s="12"/>
    </row>
    <row r="2" spans="1:19" x14ac:dyDescent="0.3">
      <c r="A2" s="12"/>
      <c r="B2" s="12"/>
      <c r="C2" s="12"/>
      <c r="D2" s="12"/>
      <c r="E2" s="12"/>
      <c r="F2" s="12"/>
      <c r="G2" s="12"/>
      <c r="H2" s="12"/>
      <c r="I2" s="12"/>
      <c r="J2" s="12"/>
      <c r="K2" s="12"/>
      <c r="L2" s="12"/>
      <c r="M2" s="12"/>
      <c r="N2" s="12"/>
      <c r="O2" s="12"/>
      <c r="P2" s="12"/>
      <c r="Q2" s="12"/>
      <c r="R2" s="12"/>
      <c r="S2" s="12"/>
    </row>
    <row r="3" spans="1:19" ht="21" x14ac:dyDescent="0.4">
      <c r="A3" s="12"/>
      <c r="B3" s="12"/>
      <c r="C3" s="12"/>
      <c r="D3" s="8" t="s">
        <v>856</v>
      </c>
      <c r="E3" s="12"/>
      <c r="F3" s="12"/>
      <c r="G3" s="12"/>
      <c r="H3" s="12"/>
      <c r="I3" s="8" t="s">
        <v>857</v>
      </c>
      <c r="J3" s="12"/>
      <c r="K3" s="12"/>
      <c r="L3" s="12"/>
      <c r="M3" s="8" t="s">
        <v>858</v>
      </c>
      <c r="N3" s="12"/>
      <c r="O3" s="12"/>
      <c r="P3" s="12"/>
      <c r="Q3" s="12"/>
      <c r="R3" s="12"/>
      <c r="S3" s="12"/>
    </row>
    <row r="4" spans="1:19" ht="21" x14ac:dyDescent="0.4">
      <c r="D4" s="9">
        <f>SUM(Table2[Sales])</f>
        <v>3922355.3499999987</v>
      </c>
      <c r="I4" s="9">
        <f>SUM(Table2[Profit])</f>
        <v>1067697.8399999999</v>
      </c>
      <c r="M4" s="10">
        <f>COUNTA(Table2[Order ID])</f>
        <v>500</v>
      </c>
    </row>
    <row r="6" spans="1:19" x14ac:dyDescent="0.3">
      <c r="E6" s="6"/>
    </row>
    <row r="7" spans="1:19" ht="21" x14ac:dyDescent="0.4">
      <c r="D7" s="8" t="s">
        <v>875</v>
      </c>
      <c r="I7" s="8" t="s">
        <v>880</v>
      </c>
      <c r="M7" s="8" t="s">
        <v>874</v>
      </c>
    </row>
    <row r="8" spans="1:19" ht="21" x14ac:dyDescent="0.4">
      <c r="D8" s="11">
        <f>I4/D4</f>
        <v>0.27220834032796143</v>
      </c>
      <c r="I8" s="10">
        <v>2834</v>
      </c>
      <c r="M8" s="9">
        <f>D4/M4</f>
        <v>7844.7106999999978</v>
      </c>
    </row>
    <row r="12" spans="1:19" ht="31.2" x14ac:dyDescent="0.6">
      <c r="B12" s="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PivotTables</vt:lpstr>
      <vt:lpstr>SalesData</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lalit saini</cp:lastModifiedBy>
  <dcterms:created xsi:type="dcterms:W3CDTF">2026-06-25T09:22:14Z</dcterms:created>
  <dcterms:modified xsi:type="dcterms:W3CDTF">2026-07-04T11:49:21Z</dcterms:modified>
</cp:coreProperties>
</file>